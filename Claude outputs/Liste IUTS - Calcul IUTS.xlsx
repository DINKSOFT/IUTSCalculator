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source\repos\IUTSCalculator\Claude outputs\"/>
    </mc:Choice>
  </mc:AlternateContent>
  <xr:revisionPtr revIDLastSave="0" documentId="13_ncr:1_{0917C1B6-FC15-4511-83E2-07A06A75C9A6}" xr6:coauthVersionLast="47" xr6:coauthVersionMax="47" xr10:uidLastSave="{00000000-0000-0000-0000-000000000000}"/>
  <bookViews>
    <workbookView xWindow="50" yWindow="20" windowWidth="19150" windowHeight="10060" tabRatio="500" firstSheet="3" activeTab="3" xr2:uid="{00000000-000D-0000-FFFF-FFFF00000000}"/>
  </bookViews>
  <sheets>
    <sheet name="JUILLET" sheetId="1" r:id="rId1"/>
    <sheet name="Août" sheetId="2" r:id="rId2"/>
    <sheet name="Septembre" sheetId="3" r:id="rId3"/>
    <sheet name="Paramètres" sheetId="5" r:id="rId4"/>
  </sheets>
  <definedNames>
    <definedName name="_xlnm._FilterDatabase" localSheetId="1" hidden="1">Août!$B$6:$I$88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7" i="5" l="1"/>
  <c r="E26" i="5"/>
  <c r="E25" i="5"/>
  <c r="E24" i="5"/>
  <c r="E23" i="5"/>
  <c r="E22" i="5"/>
  <c r="E21" i="5"/>
  <c r="E100" i="3"/>
  <c r="T99" i="3"/>
  <c r="M99" i="3"/>
  <c r="H99" i="3"/>
  <c r="G99" i="3"/>
  <c r="F99" i="3"/>
  <c r="T98" i="3"/>
  <c r="M98" i="3"/>
  <c r="L98" i="3"/>
  <c r="H98" i="3"/>
  <c r="G98" i="3"/>
  <c r="F98" i="3"/>
  <c r="T97" i="3"/>
  <c r="M97" i="3"/>
  <c r="H97" i="3"/>
  <c r="G97" i="3"/>
  <c r="F97" i="3"/>
  <c r="T96" i="3"/>
  <c r="M96" i="3"/>
  <c r="H96" i="3"/>
  <c r="L96" i="3" s="1"/>
  <c r="G96" i="3"/>
  <c r="F96" i="3"/>
  <c r="T95" i="3"/>
  <c r="M95" i="3"/>
  <c r="H95" i="3"/>
  <c r="G95" i="3"/>
  <c r="F95" i="3"/>
  <c r="T94" i="3"/>
  <c r="M94" i="3"/>
  <c r="L94" i="3"/>
  <c r="H94" i="3"/>
  <c r="G94" i="3"/>
  <c r="F94" i="3"/>
  <c r="T93" i="3"/>
  <c r="M93" i="3"/>
  <c r="H93" i="3"/>
  <c r="G93" i="3"/>
  <c r="F93" i="3"/>
  <c r="T92" i="3"/>
  <c r="M92" i="3"/>
  <c r="L92" i="3"/>
  <c r="H92" i="3"/>
  <c r="G92" i="3"/>
  <c r="F92" i="3"/>
  <c r="T91" i="3"/>
  <c r="M91" i="3"/>
  <c r="H91" i="3"/>
  <c r="G91" i="3"/>
  <c r="F91" i="3"/>
  <c r="T90" i="3"/>
  <c r="M90" i="3"/>
  <c r="L90" i="3"/>
  <c r="H90" i="3"/>
  <c r="G90" i="3"/>
  <c r="F90" i="3"/>
  <c r="T89" i="3"/>
  <c r="M89" i="3"/>
  <c r="H89" i="3"/>
  <c r="G89" i="3"/>
  <c r="F89" i="3"/>
  <c r="T88" i="3"/>
  <c r="M88" i="3"/>
  <c r="H88" i="3"/>
  <c r="L88" i="3" s="1"/>
  <c r="G88" i="3"/>
  <c r="F88" i="3"/>
  <c r="T87" i="3"/>
  <c r="M87" i="3"/>
  <c r="H87" i="3"/>
  <c r="G87" i="3"/>
  <c r="F87" i="3"/>
  <c r="T86" i="3"/>
  <c r="M86" i="3"/>
  <c r="H86" i="3"/>
  <c r="L86" i="3" s="1"/>
  <c r="G86" i="3"/>
  <c r="F86" i="3"/>
  <c r="T85" i="3"/>
  <c r="M85" i="3"/>
  <c r="H85" i="3"/>
  <c r="G85" i="3"/>
  <c r="F85" i="3"/>
  <c r="T84" i="3"/>
  <c r="M84" i="3"/>
  <c r="L84" i="3"/>
  <c r="H84" i="3"/>
  <c r="G84" i="3"/>
  <c r="F84" i="3"/>
  <c r="T83" i="3"/>
  <c r="M83" i="3"/>
  <c r="H83" i="3"/>
  <c r="G83" i="3"/>
  <c r="F83" i="3"/>
  <c r="T82" i="3"/>
  <c r="M82" i="3"/>
  <c r="L82" i="3"/>
  <c r="K82" i="3"/>
  <c r="I82" i="3"/>
  <c r="H82" i="3"/>
  <c r="G82" i="3"/>
  <c r="F82" i="3"/>
  <c r="T81" i="3"/>
  <c r="M81" i="3"/>
  <c r="L81" i="3"/>
  <c r="I81" i="3"/>
  <c r="H81" i="3"/>
  <c r="G81" i="3"/>
  <c r="F81" i="3"/>
  <c r="T80" i="3"/>
  <c r="M80" i="3"/>
  <c r="L80" i="3"/>
  <c r="K80" i="3"/>
  <c r="I80" i="3"/>
  <c r="H80" i="3"/>
  <c r="G80" i="3"/>
  <c r="F80" i="3"/>
  <c r="T79" i="3"/>
  <c r="M79" i="3"/>
  <c r="L79" i="3"/>
  <c r="I79" i="3"/>
  <c r="H79" i="3"/>
  <c r="G79" i="3"/>
  <c r="F79" i="3"/>
  <c r="T78" i="3"/>
  <c r="M78" i="3"/>
  <c r="L78" i="3"/>
  <c r="K78" i="3"/>
  <c r="I78" i="3"/>
  <c r="H78" i="3"/>
  <c r="G78" i="3"/>
  <c r="F78" i="3"/>
  <c r="T77" i="3"/>
  <c r="M77" i="3"/>
  <c r="I77" i="3"/>
  <c r="H77" i="3"/>
  <c r="G77" i="3"/>
  <c r="L77" i="3" s="1"/>
  <c r="F77" i="3"/>
  <c r="T76" i="3"/>
  <c r="M76" i="3"/>
  <c r="L76" i="3"/>
  <c r="I76" i="3"/>
  <c r="H76" i="3"/>
  <c r="G76" i="3"/>
  <c r="F76" i="3"/>
  <c r="T75" i="3"/>
  <c r="M75" i="3"/>
  <c r="H75" i="3"/>
  <c r="G75" i="3"/>
  <c r="F75" i="3"/>
  <c r="T74" i="3"/>
  <c r="M74" i="3"/>
  <c r="L74" i="3"/>
  <c r="I74" i="3"/>
  <c r="H74" i="3"/>
  <c r="G74" i="3"/>
  <c r="F74" i="3"/>
  <c r="T73" i="3"/>
  <c r="M73" i="3"/>
  <c r="L73" i="3"/>
  <c r="H73" i="3"/>
  <c r="I73" i="3" s="1"/>
  <c r="G73" i="3"/>
  <c r="F73" i="3"/>
  <c r="T72" i="3"/>
  <c r="M72" i="3"/>
  <c r="H72" i="3"/>
  <c r="G72" i="3"/>
  <c r="F72" i="3"/>
  <c r="T71" i="3"/>
  <c r="M71" i="3"/>
  <c r="H71" i="3"/>
  <c r="L71" i="3" s="1"/>
  <c r="G71" i="3"/>
  <c r="F71" i="3"/>
  <c r="T70" i="3"/>
  <c r="M70" i="3"/>
  <c r="L70" i="3"/>
  <c r="I70" i="3"/>
  <c r="H70" i="3"/>
  <c r="G70" i="3"/>
  <c r="F70" i="3"/>
  <c r="T69" i="3"/>
  <c r="M69" i="3"/>
  <c r="H69" i="3"/>
  <c r="G69" i="3"/>
  <c r="F69" i="3"/>
  <c r="T68" i="3"/>
  <c r="M68" i="3"/>
  <c r="H68" i="3"/>
  <c r="G68" i="3"/>
  <c r="F68" i="3"/>
  <c r="T67" i="3"/>
  <c r="M67" i="3"/>
  <c r="H67" i="3"/>
  <c r="I67" i="3" s="1"/>
  <c r="G67" i="3"/>
  <c r="F67" i="3"/>
  <c r="T66" i="3"/>
  <c r="M66" i="3"/>
  <c r="L66" i="3"/>
  <c r="I66" i="3"/>
  <c r="H66" i="3"/>
  <c r="G66" i="3"/>
  <c r="F66" i="3"/>
  <c r="T65" i="3"/>
  <c r="M65" i="3"/>
  <c r="L65" i="3"/>
  <c r="H65" i="3"/>
  <c r="I65" i="3" s="1"/>
  <c r="G65" i="3"/>
  <c r="F65" i="3"/>
  <c r="T64" i="3"/>
  <c r="M64" i="3"/>
  <c r="H64" i="3"/>
  <c r="G64" i="3"/>
  <c r="F64" i="3"/>
  <c r="T63" i="3"/>
  <c r="M63" i="3"/>
  <c r="H63" i="3"/>
  <c r="G63" i="3"/>
  <c r="F63" i="3"/>
  <c r="T62" i="3"/>
  <c r="M62" i="3"/>
  <c r="L62" i="3"/>
  <c r="I62" i="3"/>
  <c r="H62" i="3"/>
  <c r="G62" i="3"/>
  <c r="F62" i="3"/>
  <c r="T61" i="3"/>
  <c r="M61" i="3"/>
  <c r="H61" i="3"/>
  <c r="G61" i="3"/>
  <c r="F61" i="3"/>
  <c r="T60" i="3"/>
  <c r="M60" i="3"/>
  <c r="I60" i="3"/>
  <c r="H60" i="3"/>
  <c r="G60" i="3"/>
  <c r="L60" i="3" s="1"/>
  <c r="F60" i="3"/>
  <c r="T59" i="3"/>
  <c r="M59" i="3"/>
  <c r="H59" i="3"/>
  <c r="G59" i="3"/>
  <c r="F59" i="3"/>
  <c r="T58" i="3"/>
  <c r="M58" i="3"/>
  <c r="I58" i="3"/>
  <c r="H58" i="3"/>
  <c r="G58" i="3"/>
  <c r="L58" i="3" s="1"/>
  <c r="F58" i="3"/>
  <c r="T57" i="3"/>
  <c r="M57" i="3"/>
  <c r="H57" i="3"/>
  <c r="G57" i="3"/>
  <c r="F57" i="3"/>
  <c r="T56" i="3"/>
  <c r="M56" i="3"/>
  <c r="I56" i="3"/>
  <c r="H56" i="3"/>
  <c r="G56" i="3"/>
  <c r="L56" i="3" s="1"/>
  <c r="F56" i="3"/>
  <c r="T55" i="3"/>
  <c r="M55" i="3"/>
  <c r="H55" i="3"/>
  <c r="G55" i="3"/>
  <c r="F55" i="3"/>
  <c r="T54" i="3"/>
  <c r="M54" i="3"/>
  <c r="I54" i="3"/>
  <c r="H54" i="3"/>
  <c r="G54" i="3"/>
  <c r="L54" i="3" s="1"/>
  <c r="F54" i="3"/>
  <c r="T53" i="3"/>
  <c r="M53" i="3"/>
  <c r="H53" i="3"/>
  <c r="G53" i="3"/>
  <c r="F53" i="3"/>
  <c r="T52" i="3"/>
  <c r="M52" i="3"/>
  <c r="L52" i="3"/>
  <c r="I52" i="3"/>
  <c r="H52" i="3"/>
  <c r="G52" i="3"/>
  <c r="F52" i="3"/>
  <c r="T51" i="3"/>
  <c r="M51" i="3"/>
  <c r="H51" i="3"/>
  <c r="G51" i="3"/>
  <c r="F51" i="3"/>
  <c r="T50" i="3"/>
  <c r="M50" i="3"/>
  <c r="L50" i="3"/>
  <c r="I50" i="3"/>
  <c r="H50" i="3"/>
  <c r="G50" i="3"/>
  <c r="F50" i="3"/>
  <c r="T49" i="3"/>
  <c r="M49" i="3"/>
  <c r="H49" i="3"/>
  <c r="G49" i="3"/>
  <c r="F49" i="3"/>
  <c r="T48" i="3"/>
  <c r="M48" i="3"/>
  <c r="L48" i="3"/>
  <c r="I48" i="3"/>
  <c r="H48" i="3"/>
  <c r="G48" i="3"/>
  <c r="F48" i="3"/>
  <c r="T47" i="3"/>
  <c r="M47" i="3"/>
  <c r="H47" i="3"/>
  <c r="G47" i="3"/>
  <c r="F47" i="3"/>
  <c r="T46" i="3"/>
  <c r="N46" i="3"/>
  <c r="M46" i="3"/>
  <c r="L46" i="3"/>
  <c r="I46" i="3"/>
  <c r="H46" i="3"/>
  <c r="G46" i="3"/>
  <c r="F46" i="3"/>
  <c r="T45" i="3"/>
  <c r="M45" i="3"/>
  <c r="H45" i="3"/>
  <c r="G45" i="3"/>
  <c r="F45" i="3"/>
  <c r="T44" i="3"/>
  <c r="N44" i="3"/>
  <c r="M44" i="3"/>
  <c r="L44" i="3"/>
  <c r="H44" i="3"/>
  <c r="G44" i="3"/>
  <c r="I44" i="3" s="1"/>
  <c r="F44" i="3"/>
  <c r="T43" i="3"/>
  <c r="M43" i="3"/>
  <c r="H43" i="3"/>
  <c r="G43" i="3"/>
  <c r="F43" i="3"/>
  <c r="T42" i="3"/>
  <c r="M42" i="3"/>
  <c r="H42" i="3"/>
  <c r="G42" i="3"/>
  <c r="F42" i="3"/>
  <c r="T41" i="3"/>
  <c r="M41" i="3"/>
  <c r="H41" i="3"/>
  <c r="G41" i="3"/>
  <c r="F41" i="3"/>
  <c r="T40" i="3"/>
  <c r="M40" i="3"/>
  <c r="L40" i="3"/>
  <c r="I40" i="3"/>
  <c r="H40" i="3"/>
  <c r="G40" i="3"/>
  <c r="F40" i="3"/>
  <c r="T39" i="3"/>
  <c r="M39" i="3"/>
  <c r="H39" i="3"/>
  <c r="G39" i="3"/>
  <c r="F39" i="3"/>
  <c r="T38" i="3"/>
  <c r="N38" i="3"/>
  <c r="M38" i="3"/>
  <c r="L38" i="3"/>
  <c r="I38" i="3"/>
  <c r="H38" i="3"/>
  <c r="G38" i="3"/>
  <c r="F38" i="3"/>
  <c r="T37" i="3"/>
  <c r="M37" i="3"/>
  <c r="H37" i="3"/>
  <c r="G37" i="3"/>
  <c r="F37" i="3"/>
  <c r="T36" i="3"/>
  <c r="M36" i="3"/>
  <c r="H36" i="3"/>
  <c r="G36" i="3"/>
  <c r="F36" i="3"/>
  <c r="T35" i="3"/>
  <c r="M35" i="3"/>
  <c r="H35" i="3"/>
  <c r="G35" i="3"/>
  <c r="F35" i="3"/>
  <c r="T34" i="3"/>
  <c r="M34" i="3"/>
  <c r="L34" i="3"/>
  <c r="I34" i="3"/>
  <c r="H34" i="3"/>
  <c r="G34" i="3"/>
  <c r="F34" i="3"/>
  <c r="T33" i="3"/>
  <c r="M33" i="3"/>
  <c r="H33" i="3"/>
  <c r="G33" i="3"/>
  <c r="F33" i="3"/>
  <c r="T32" i="3"/>
  <c r="M32" i="3"/>
  <c r="H32" i="3"/>
  <c r="G32" i="3"/>
  <c r="F32" i="3"/>
  <c r="T31" i="3"/>
  <c r="M31" i="3"/>
  <c r="L31" i="3"/>
  <c r="I31" i="3"/>
  <c r="H31" i="3"/>
  <c r="G31" i="3"/>
  <c r="F31" i="3"/>
  <c r="T30" i="3"/>
  <c r="M30" i="3"/>
  <c r="H30" i="3"/>
  <c r="G30" i="3"/>
  <c r="F30" i="3"/>
  <c r="T29" i="3"/>
  <c r="M29" i="3"/>
  <c r="H29" i="3"/>
  <c r="G29" i="3"/>
  <c r="F29" i="3"/>
  <c r="T28" i="3"/>
  <c r="M28" i="3"/>
  <c r="H28" i="3"/>
  <c r="G28" i="3"/>
  <c r="F28" i="3"/>
  <c r="T27" i="3"/>
  <c r="M27" i="3"/>
  <c r="L27" i="3"/>
  <c r="H27" i="3"/>
  <c r="G27" i="3"/>
  <c r="F27" i="3"/>
  <c r="I27" i="3" s="1"/>
  <c r="T26" i="3"/>
  <c r="M26" i="3"/>
  <c r="H26" i="3"/>
  <c r="G26" i="3"/>
  <c r="I26" i="3" s="1"/>
  <c r="F26" i="3"/>
  <c r="L26" i="3" s="1"/>
  <c r="T25" i="3"/>
  <c r="M25" i="3"/>
  <c r="H25" i="3"/>
  <c r="G25" i="3"/>
  <c r="F25" i="3"/>
  <c r="T24" i="3"/>
  <c r="M24" i="3"/>
  <c r="L24" i="3"/>
  <c r="I24" i="3"/>
  <c r="H24" i="3"/>
  <c r="G24" i="3"/>
  <c r="F24" i="3"/>
  <c r="T23" i="3"/>
  <c r="M23" i="3"/>
  <c r="H23" i="3"/>
  <c r="G23" i="3"/>
  <c r="F23" i="3"/>
  <c r="T22" i="3"/>
  <c r="M22" i="3"/>
  <c r="H22" i="3"/>
  <c r="G22" i="3"/>
  <c r="L22" i="3" s="1"/>
  <c r="F22" i="3"/>
  <c r="I22" i="3" s="1"/>
  <c r="K22" i="3" s="1"/>
  <c r="T21" i="3"/>
  <c r="M21" i="3"/>
  <c r="H21" i="3"/>
  <c r="L21" i="3" s="1"/>
  <c r="G21" i="3"/>
  <c r="F21" i="3"/>
  <c r="T20" i="3"/>
  <c r="M20" i="3"/>
  <c r="H20" i="3"/>
  <c r="G20" i="3"/>
  <c r="F20" i="3"/>
  <c r="T19" i="3"/>
  <c r="M19" i="3"/>
  <c r="L19" i="3"/>
  <c r="H19" i="3"/>
  <c r="G19" i="3"/>
  <c r="F19" i="3"/>
  <c r="I19" i="3" s="1"/>
  <c r="T18" i="3"/>
  <c r="M18" i="3"/>
  <c r="H18" i="3"/>
  <c r="G18" i="3"/>
  <c r="I18" i="3" s="1"/>
  <c r="F18" i="3"/>
  <c r="L18" i="3" s="1"/>
  <c r="T17" i="3"/>
  <c r="M17" i="3"/>
  <c r="H17" i="3"/>
  <c r="G17" i="3"/>
  <c r="F17" i="3"/>
  <c r="T16" i="3"/>
  <c r="M16" i="3"/>
  <c r="L16" i="3"/>
  <c r="I16" i="3"/>
  <c r="H16" i="3"/>
  <c r="G16" i="3"/>
  <c r="F16" i="3"/>
  <c r="T15" i="3"/>
  <c r="M15" i="3"/>
  <c r="H15" i="3"/>
  <c r="G15" i="3"/>
  <c r="I15" i="3" s="1"/>
  <c r="F15" i="3"/>
  <c r="L15" i="3" s="1"/>
  <c r="T14" i="3"/>
  <c r="M14" i="3"/>
  <c r="H14" i="3"/>
  <c r="G14" i="3"/>
  <c r="F14" i="3"/>
  <c r="T13" i="3"/>
  <c r="M13" i="3"/>
  <c r="L13" i="3"/>
  <c r="H13" i="3"/>
  <c r="G13" i="3"/>
  <c r="F13" i="3"/>
  <c r="I13" i="3" s="1"/>
  <c r="T12" i="3"/>
  <c r="M12" i="3"/>
  <c r="L12" i="3"/>
  <c r="I12" i="3"/>
  <c r="H12" i="3"/>
  <c r="G12" i="3"/>
  <c r="F12" i="3"/>
  <c r="T11" i="3"/>
  <c r="M11" i="3"/>
  <c r="H11" i="3"/>
  <c r="G11" i="3"/>
  <c r="I11" i="3" s="1"/>
  <c r="F11" i="3"/>
  <c r="T10" i="3"/>
  <c r="M10" i="3"/>
  <c r="H10" i="3"/>
  <c r="G10" i="3"/>
  <c r="F10" i="3"/>
  <c r="T9" i="3"/>
  <c r="M9" i="3"/>
  <c r="L9" i="3"/>
  <c r="H9" i="3"/>
  <c r="G9" i="3"/>
  <c r="F9" i="3"/>
  <c r="I9" i="3" s="1"/>
  <c r="K9" i="3" s="1"/>
  <c r="O9" i="3" s="1"/>
  <c r="T8" i="3"/>
  <c r="M8" i="3"/>
  <c r="L8" i="3"/>
  <c r="I8" i="3"/>
  <c r="H8" i="3"/>
  <c r="G8" i="3"/>
  <c r="F8" i="3"/>
  <c r="T7" i="3"/>
  <c r="M7" i="3"/>
  <c r="H7" i="3"/>
  <c r="G7" i="3"/>
  <c r="F7" i="3"/>
  <c r="I87" i="2"/>
  <c r="T86" i="2"/>
  <c r="M86" i="2"/>
  <c r="H86" i="2"/>
  <c r="G86" i="2"/>
  <c r="F86" i="2"/>
  <c r="T85" i="2"/>
  <c r="M85" i="2"/>
  <c r="H85" i="2"/>
  <c r="G85" i="2"/>
  <c r="F85" i="2"/>
  <c r="T84" i="2"/>
  <c r="M84" i="2"/>
  <c r="L84" i="2"/>
  <c r="H84" i="2"/>
  <c r="G84" i="2"/>
  <c r="F84" i="2"/>
  <c r="E84" i="2" s="1"/>
  <c r="T83" i="2"/>
  <c r="M83" i="2"/>
  <c r="L83" i="2"/>
  <c r="H83" i="2"/>
  <c r="G83" i="2"/>
  <c r="F83" i="2"/>
  <c r="T82" i="2"/>
  <c r="M82" i="2"/>
  <c r="H82" i="2"/>
  <c r="G82" i="2"/>
  <c r="F82" i="2"/>
  <c r="E82" i="2" s="1"/>
  <c r="T81" i="2"/>
  <c r="M81" i="2"/>
  <c r="H81" i="2"/>
  <c r="G81" i="2"/>
  <c r="F81" i="2"/>
  <c r="T80" i="2"/>
  <c r="M80" i="2"/>
  <c r="L80" i="2"/>
  <c r="K80" i="2"/>
  <c r="H80" i="2"/>
  <c r="G80" i="2"/>
  <c r="F80" i="2"/>
  <c r="E80" i="2" s="1"/>
  <c r="T79" i="2"/>
  <c r="M79" i="2"/>
  <c r="L79" i="2"/>
  <c r="H79" i="2"/>
  <c r="G79" i="2"/>
  <c r="F79" i="2"/>
  <c r="E79" i="2"/>
  <c r="T78" i="2"/>
  <c r="M78" i="2"/>
  <c r="H78" i="2"/>
  <c r="E78" i="2" s="1"/>
  <c r="G78" i="2"/>
  <c r="F78" i="2"/>
  <c r="T77" i="2"/>
  <c r="M77" i="2"/>
  <c r="L77" i="2"/>
  <c r="H77" i="2"/>
  <c r="G77" i="2"/>
  <c r="F77" i="2"/>
  <c r="E77" i="2"/>
  <c r="T76" i="2"/>
  <c r="M76" i="2"/>
  <c r="L76" i="2"/>
  <c r="K76" i="2"/>
  <c r="H76" i="2"/>
  <c r="E76" i="2" s="1"/>
  <c r="G76" i="2"/>
  <c r="F76" i="2"/>
  <c r="T75" i="2"/>
  <c r="M75" i="2"/>
  <c r="L75" i="2"/>
  <c r="H75" i="2"/>
  <c r="G75" i="2"/>
  <c r="F75" i="2"/>
  <c r="E75" i="2"/>
  <c r="T74" i="2"/>
  <c r="O74" i="2"/>
  <c r="M74" i="2"/>
  <c r="L74" i="2"/>
  <c r="K74" i="2"/>
  <c r="H74" i="2"/>
  <c r="G74" i="2"/>
  <c r="E74" i="2" s="1"/>
  <c r="N74" i="2" s="1"/>
  <c r="F74" i="2"/>
  <c r="T73" i="2"/>
  <c r="M73" i="2"/>
  <c r="H73" i="2"/>
  <c r="G73" i="2"/>
  <c r="F73" i="2"/>
  <c r="T72" i="2"/>
  <c r="M72" i="2"/>
  <c r="H72" i="2"/>
  <c r="G72" i="2"/>
  <c r="L72" i="2" s="1"/>
  <c r="F72" i="2"/>
  <c r="E72" i="2"/>
  <c r="T71" i="2"/>
  <c r="M71" i="2"/>
  <c r="H71" i="2"/>
  <c r="E71" i="2" s="1"/>
  <c r="G71" i="2"/>
  <c r="F71" i="2"/>
  <c r="T70" i="2"/>
  <c r="M70" i="2"/>
  <c r="H70" i="2"/>
  <c r="G70" i="2"/>
  <c r="L70" i="2" s="1"/>
  <c r="F70" i="2"/>
  <c r="T69" i="2"/>
  <c r="M69" i="2"/>
  <c r="H69" i="2"/>
  <c r="E69" i="2" s="1"/>
  <c r="G69" i="2"/>
  <c r="F69" i="2"/>
  <c r="T68" i="2"/>
  <c r="M68" i="2"/>
  <c r="L68" i="2"/>
  <c r="H68" i="2"/>
  <c r="G68" i="2"/>
  <c r="F68" i="2"/>
  <c r="E68" i="2" s="1"/>
  <c r="T67" i="2"/>
  <c r="M67" i="2"/>
  <c r="H67" i="2"/>
  <c r="G67" i="2"/>
  <c r="F67" i="2"/>
  <c r="T66" i="2"/>
  <c r="M66" i="2"/>
  <c r="H66" i="2"/>
  <c r="G66" i="2"/>
  <c r="F66" i="2"/>
  <c r="T65" i="2"/>
  <c r="M65" i="2"/>
  <c r="H65" i="2"/>
  <c r="G65" i="2"/>
  <c r="F65" i="2"/>
  <c r="L65" i="2" s="1"/>
  <c r="E65" i="2"/>
  <c r="T64" i="2"/>
  <c r="M64" i="2"/>
  <c r="H64" i="2"/>
  <c r="G64" i="2"/>
  <c r="F64" i="2"/>
  <c r="L64" i="2" s="1"/>
  <c r="E64" i="2"/>
  <c r="T63" i="2"/>
  <c r="M63" i="2"/>
  <c r="L63" i="2"/>
  <c r="K63" i="2"/>
  <c r="H63" i="2"/>
  <c r="G63" i="2"/>
  <c r="F63" i="2"/>
  <c r="E63" i="2"/>
  <c r="O63" i="2" s="1"/>
  <c r="T62" i="2"/>
  <c r="M62" i="2"/>
  <c r="H62" i="2"/>
  <c r="G62" i="2"/>
  <c r="F62" i="2"/>
  <c r="T61" i="2"/>
  <c r="M61" i="2"/>
  <c r="H61" i="2"/>
  <c r="G61" i="2"/>
  <c r="F61" i="2"/>
  <c r="T60" i="2"/>
  <c r="M60" i="2"/>
  <c r="H60" i="2"/>
  <c r="G60" i="2"/>
  <c r="F60" i="2"/>
  <c r="L60" i="2" s="1"/>
  <c r="E60" i="2"/>
  <c r="T59" i="2"/>
  <c r="M59" i="2"/>
  <c r="L59" i="2"/>
  <c r="K59" i="2"/>
  <c r="H59" i="2"/>
  <c r="G59" i="2"/>
  <c r="F59" i="2"/>
  <c r="E59" i="2"/>
  <c r="T58" i="2"/>
  <c r="M58" i="2"/>
  <c r="H58" i="2"/>
  <c r="G58" i="2"/>
  <c r="F58" i="2"/>
  <c r="T57" i="2"/>
  <c r="M57" i="2"/>
  <c r="H57" i="2"/>
  <c r="G57" i="2"/>
  <c r="F57" i="2"/>
  <c r="L57" i="2" s="1"/>
  <c r="T56" i="2"/>
  <c r="M56" i="2"/>
  <c r="H56" i="2"/>
  <c r="G56" i="2"/>
  <c r="F56" i="2"/>
  <c r="L56" i="2" s="1"/>
  <c r="E56" i="2"/>
  <c r="T55" i="2"/>
  <c r="M55" i="2"/>
  <c r="L55" i="2"/>
  <c r="K55" i="2"/>
  <c r="H55" i="2"/>
  <c r="G55" i="2"/>
  <c r="F55" i="2"/>
  <c r="E55" i="2"/>
  <c r="O55" i="2" s="1"/>
  <c r="T54" i="2"/>
  <c r="M54" i="2"/>
  <c r="H54" i="2"/>
  <c r="G54" i="2"/>
  <c r="F54" i="2"/>
  <c r="T53" i="2"/>
  <c r="M53" i="2"/>
  <c r="H53" i="2"/>
  <c r="G53" i="2"/>
  <c r="F53" i="2"/>
  <c r="L53" i="2" s="1"/>
  <c r="E53" i="2"/>
  <c r="T52" i="2"/>
  <c r="M52" i="2"/>
  <c r="H52" i="2"/>
  <c r="G52" i="2"/>
  <c r="F52" i="2"/>
  <c r="L52" i="2" s="1"/>
  <c r="E52" i="2"/>
  <c r="T51" i="2"/>
  <c r="M51" i="2"/>
  <c r="L51" i="2"/>
  <c r="K51" i="2"/>
  <c r="H51" i="2"/>
  <c r="G51" i="2"/>
  <c r="F51" i="2"/>
  <c r="E51" i="2"/>
  <c r="O51" i="2" s="1"/>
  <c r="T50" i="2"/>
  <c r="M50" i="2"/>
  <c r="H50" i="2"/>
  <c r="G50" i="2"/>
  <c r="F50" i="2"/>
  <c r="T49" i="2"/>
  <c r="M49" i="2"/>
  <c r="H49" i="2"/>
  <c r="G49" i="2"/>
  <c r="F49" i="2"/>
  <c r="L49" i="2" s="1"/>
  <c r="T48" i="2"/>
  <c r="M48" i="2"/>
  <c r="H48" i="2"/>
  <c r="G48" i="2"/>
  <c r="F48" i="2"/>
  <c r="L48" i="2" s="1"/>
  <c r="E48" i="2"/>
  <c r="T47" i="2"/>
  <c r="M47" i="2"/>
  <c r="L47" i="2"/>
  <c r="K47" i="2"/>
  <c r="H47" i="2"/>
  <c r="G47" i="2"/>
  <c r="F47" i="2"/>
  <c r="E47" i="2"/>
  <c r="T46" i="2"/>
  <c r="M46" i="2"/>
  <c r="H46" i="2"/>
  <c r="G46" i="2"/>
  <c r="F46" i="2"/>
  <c r="T45" i="2"/>
  <c r="M45" i="2"/>
  <c r="H45" i="2"/>
  <c r="G45" i="2"/>
  <c r="F45" i="2"/>
  <c r="T44" i="2"/>
  <c r="M44" i="2"/>
  <c r="H44" i="2"/>
  <c r="G44" i="2"/>
  <c r="F44" i="2"/>
  <c r="T43" i="2"/>
  <c r="M43" i="2"/>
  <c r="H43" i="2"/>
  <c r="G43" i="2"/>
  <c r="F43" i="2"/>
  <c r="T42" i="2"/>
  <c r="M42" i="2"/>
  <c r="H42" i="2"/>
  <c r="G42" i="2"/>
  <c r="F42" i="2"/>
  <c r="T41" i="2"/>
  <c r="M41" i="2"/>
  <c r="H41" i="2"/>
  <c r="G41" i="2"/>
  <c r="F41" i="2"/>
  <c r="T40" i="2"/>
  <c r="M40" i="2"/>
  <c r="H40" i="2"/>
  <c r="G40" i="2"/>
  <c r="F40" i="2"/>
  <c r="T39" i="2"/>
  <c r="M39" i="2"/>
  <c r="H39" i="2"/>
  <c r="G39" i="2"/>
  <c r="F39" i="2"/>
  <c r="T38" i="2"/>
  <c r="M38" i="2"/>
  <c r="H38" i="2"/>
  <c r="G38" i="2"/>
  <c r="F38" i="2"/>
  <c r="T37" i="2"/>
  <c r="M37" i="2"/>
  <c r="H37" i="2"/>
  <c r="G37" i="2"/>
  <c r="F37" i="2"/>
  <c r="T36" i="2"/>
  <c r="M36" i="2"/>
  <c r="H36" i="2"/>
  <c r="G36" i="2"/>
  <c r="F36" i="2"/>
  <c r="T35" i="2"/>
  <c r="M35" i="2"/>
  <c r="H35" i="2"/>
  <c r="G35" i="2"/>
  <c r="F35" i="2"/>
  <c r="T34" i="2"/>
  <c r="M34" i="2"/>
  <c r="H34" i="2"/>
  <c r="G34" i="2"/>
  <c r="F34" i="2"/>
  <c r="T33" i="2"/>
  <c r="M33" i="2"/>
  <c r="H33" i="2"/>
  <c r="G33" i="2"/>
  <c r="F33" i="2"/>
  <c r="T32" i="2"/>
  <c r="M32" i="2"/>
  <c r="H32" i="2"/>
  <c r="G32" i="2"/>
  <c r="F32" i="2"/>
  <c r="T31" i="2"/>
  <c r="M31" i="2"/>
  <c r="H31" i="2"/>
  <c r="G31" i="2"/>
  <c r="F31" i="2"/>
  <c r="T30" i="2"/>
  <c r="M30" i="2"/>
  <c r="H30" i="2"/>
  <c r="G30" i="2"/>
  <c r="F30" i="2"/>
  <c r="T29" i="2"/>
  <c r="M29" i="2"/>
  <c r="H29" i="2"/>
  <c r="G29" i="2"/>
  <c r="F29" i="2"/>
  <c r="T28" i="2"/>
  <c r="M28" i="2"/>
  <c r="H28" i="2"/>
  <c r="G28" i="2"/>
  <c r="F28" i="2"/>
  <c r="E28" i="2"/>
  <c r="T27" i="2"/>
  <c r="M27" i="2"/>
  <c r="H27" i="2"/>
  <c r="G27" i="2"/>
  <c r="F27" i="2"/>
  <c r="L27" i="2" s="1"/>
  <c r="E27" i="2"/>
  <c r="T26" i="2"/>
  <c r="M26" i="2"/>
  <c r="H26" i="2"/>
  <c r="G26" i="2"/>
  <c r="F26" i="2"/>
  <c r="T25" i="2"/>
  <c r="M25" i="2"/>
  <c r="H25" i="2"/>
  <c r="G25" i="2"/>
  <c r="E25" i="2" s="1"/>
  <c r="F25" i="2"/>
  <c r="T24" i="2"/>
  <c r="M24" i="2"/>
  <c r="H24" i="2"/>
  <c r="G24" i="2"/>
  <c r="F24" i="2"/>
  <c r="L24" i="2" s="1"/>
  <c r="T23" i="2"/>
  <c r="M23" i="2"/>
  <c r="H23" i="2"/>
  <c r="G23" i="2"/>
  <c r="F23" i="2"/>
  <c r="T22" i="2"/>
  <c r="M22" i="2"/>
  <c r="H22" i="2"/>
  <c r="G22" i="2"/>
  <c r="F22" i="2"/>
  <c r="L22" i="2" s="1"/>
  <c r="E22" i="2"/>
  <c r="T21" i="2"/>
  <c r="M21" i="2"/>
  <c r="H21" i="2"/>
  <c r="G21" i="2"/>
  <c r="F21" i="2"/>
  <c r="T20" i="2"/>
  <c r="M20" i="2"/>
  <c r="L20" i="2"/>
  <c r="H20" i="2"/>
  <c r="G20" i="2"/>
  <c r="F20" i="2"/>
  <c r="E20" i="2" s="1"/>
  <c r="T19" i="2"/>
  <c r="M19" i="2"/>
  <c r="H19" i="2"/>
  <c r="G19" i="2"/>
  <c r="F19" i="2"/>
  <c r="T18" i="2"/>
  <c r="M18" i="2"/>
  <c r="H18" i="2"/>
  <c r="G18" i="2"/>
  <c r="L18" i="2" s="1"/>
  <c r="F18" i="2"/>
  <c r="E18" i="2"/>
  <c r="T17" i="2"/>
  <c r="M17" i="2"/>
  <c r="H17" i="2"/>
  <c r="G17" i="2"/>
  <c r="F17" i="2"/>
  <c r="T16" i="2"/>
  <c r="M16" i="2"/>
  <c r="L16" i="2"/>
  <c r="H16" i="2"/>
  <c r="G16" i="2"/>
  <c r="F16" i="2"/>
  <c r="E16" i="2" s="1"/>
  <c r="T15" i="2"/>
  <c r="M15" i="2"/>
  <c r="H15" i="2"/>
  <c r="G15" i="2"/>
  <c r="F15" i="2"/>
  <c r="T14" i="2"/>
  <c r="M14" i="2"/>
  <c r="H14" i="2"/>
  <c r="G14" i="2"/>
  <c r="L14" i="2" s="1"/>
  <c r="F14" i="2"/>
  <c r="E14" i="2"/>
  <c r="T13" i="2"/>
  <c r="M13" i="2"/>
  <c r="H13" i="2"/>
  <c r="G13" i="2"/>
  <c r="F13" i="2"/>
  <c r="T12" i="2"/>
  <c r="M12" i="2"/>
  <c r="L12" i="2"/>
  <c r="H12" i="2"/>
  <c r="G12" i="2"/>
  <c r="F12" i="2"/>
  <c r="E12" i="2"/>
  <c r="T11" i="2"/>
  <c r="M11" i="2"/>
  <c r="H11" i="2"/>
  <c r="G11" i="2"/>
  <c r="F11" i="2"/>
  <c r="E11" i="2"/>
  <c r="T10" i="2"/>
  <c r="M10" i="2"/>
  <c r="H10" i="2"/>
  <c r="G10" i="2"/>
  <c r="F10" i="2"/>
  <c r="T9" i="2"/>
  <c r="M9" i="2"/>
  <c r="H9" i="2"/>
  <c r="G9" i="2"/>
  <c r="F9" i="2"/>
  <c r="T8" i="2"/>
  <c r="M8" i="2"/>
  <c r="H8" i="2"/>
  <c r="G8" i="2"/>
  <c r="F8" i="2"/>
  <c r="E8" i="2" s="1"/>
  <c r="T7" i="2"/>
  <c r="M7" i="2"/>
  <c r="L7" i="2"/>
  <c r="E7" i="2"/>
  <c r="E100" i="1"/>
  <c r="E101" i="1" s="1"/>
  <c r="T99" i="1"/>
  <c r="M99" i="1"/>
  <c r="L99" i="1"/>
  <c r="I99" i="1"/>
  <c r="H99" i="1"/>
  <c r="G99" i="1"/>
  <c r="F99" i="1"/>
  <c r="T98" i="1"/>
  <c r="M98" i="1"/>
  <c r="L98" i="1"/>
  <c r="K98" i="1"/>
  <c r="I98" i="1"/>
  <c r="H98" i="1"/>
  <c r="G98" i="1"/>
  <c r="F98" i="1"/>
  <c r="T97" i="1"/>
  <c r="M97" i="1"/>
  <c r="L97" i="1"/>
  <c r="H97" i="1"/>
  <c r="G97" i="1"/>
  <c r="F97" i="1"/>
  <c r="I97" i="1" s="1"/>
  <c r="T96" i="1"/>
  <c r="N96" i="1"/>
  <c r="M96" i="1"/>
  <c r="K96" i="1"/>
  <c r="I96" i="1"/>
  <c r="H96" i="1"/>
  <c r="G96" i="1"/>
  <c r="F96" i="1"/>
  <c r="L96" i="1" s="1"/>
  <c r="T95" i="1"/>
  <c r="M95" i="1"/>
  <c r="H95" i="1"/>
  <c r="I95" i="1" s="1"/>
  <c r="G95" i="1"/>
  <c r="F95" i="1"/>
  <c r="T94" i="1"/>
  <c r="M94" i="1"/>
  <c r="H94" i="1"/>
  <c r="G94" i="1"/>
  <c r="F94" i="1"/>
  <c r="L94" i="1" s="1"/>
  <c r="T93" i="1"/>
  <c r="M93" i="1"/>
  <c r="L93" i="1"/>
  <c r="H93" i="1"/>
  <c r="G93" i="1"/>
  <c r="F93" i="1"/>
  <c r="I93" i="1" s="1"/>
  <c r="T92" i="1"/>
  <c r="M92" i="1"/>
  <c r="I92" i="1"/>
  <c r="H92" i="1"/>
  <c r="G92" i="1"/>
  <c r="F92" i="1"/>
  <c r="L92" i="1" s="1"/>
  <c r="T91" i="1"/>
  <c r="M91" i="1"/>
  <c r="H91" i="1"/>
  <c r="I91" i="1" s="1"/>
  <c r="G91" i="1"/>
  <c r="F91" i="1"/>
  <c r="T90" i="1"/>
  <c r="M90" i="1"/>
  <c r="I90" i="1"/>
  <c r="K90" i="1" s="1"/>
  <c r="H90" i="1"/>
  <c r="G90" i="1"/>
  <c r="F90" i="1"/>
  <c r="L90" i="1" s="1"/>
  <c r="T89" i="1"/>
  <c r="M89" i="1"/>
  <c r="L89" i="1"/>
  <c r="H89" i="1"/>
  <c r="G89" i="1"/>
  <c r="F89" i="1"/>
  <c r="I89" i="1" s="1"/>
  <c r="T88" i="1"/>
  <c r="M88" i="1"/>
  <c r="I88" i="1"/>
  <c r="N88" i="1" s="1"/>
  <c r="H88" i="1"/>
  <c r="G88" i="1"/>
  <c r="F88" i="1"/>
  <c r="L88" i="1" s="1"/>
  <c r="T87" i="1"/>
  <c r="M87" i="1"/>
  <c r="L87" i="1"/>
  <c r="H87" i="1"/>
  <c r="G87" i="1"/>
  <c r="F87" i="1"/>
  <c r="I87" i="1" s="1"/>
  <c r="T86" i="1"/>
  <c r="M86" i="1"/>
  <c r="H86" i="1"/>
  <c r="G86" i="1"/>
  <c r="F86" i="1"/>
  <c r="L86" i="1" s="1"/>
  <c r="T85" i="1"/>
  <c r="M85" i="1"/>
  <c r="L85" i="1"/>
  <c r="H85" i="1"/>
  <c r="G85" i="1"/>
  <c r="F85" i="1"/>
  <c r="I85" i="1" s="1"/>
  <c r="T84" i="1"/>
  <c r="N84" i="1"/>
  <c r="M84" i="1"/>
  <c r="K84" i="1"/>
  <c r="I84" i="1"/>
  <c r="H84" i="1"/>
  <c r="G84" i="1"/>
  <c r="F84" i="1"/>
  <c r="L84" i="1" s="1"/>
  <c r="T83" i="1"/>
  <c r="M83" i="1"/>
  <c r="H83" i="1"/>
  <c r="L83" i="1" s="1"/>
  <c r="G83" i="1"/>
  <c r="F83" i="1"/>
  <c r="I83" i="1" s="1"/>
  <c r="T82" i="1"/>
  <c r="M82" i="1"/>
  <c r="H82" i="1"/>
  <c r="G82" i="1"/>
  <c r="F82" i="1"/>
  <c r="L82" i="1" s="1"/>
  <c r="T81" i="1"/>
  <c r="M81" i="1"/>
  <c r="L81" i="1"/>
  <c r="H81" i="1"/>
  <c r="G81" i="1"/>
  <c r="F81" i="1"/>
  <c r="I81" i="1" s="1"/>
  <c r="T80" i="1"/>
  <c r="M80" i="1"/>
  <c r="K80" i="1"/>
  <c r="I80" i="1"/>
  <c r="H80" i="1"/>
  <c r="G80" i="1"/>
  <c r="F80" i="1"/>
  <c r="L80" i="1" s="1"/>
  <c r="T79" i="1"/>
  <c r="M79" i="1"/>
  <c r="H79" i="1"/>
  <c r="L79" i="1" s="1"/>
  <c r="G79" i="1"/>
  <c r="F79" i="1"/>
  <c r="T78" i="1"/>
  <c r="M78" i="1"/>
  <c r="I78" i="1"/>
  <c r="K78" i="1" s="1"/>
  <c r="H78" i="1"/>
  <c r="G78" i="1"/>
  <c r="F78" i="1"/>
  <c r="L78" i="1" s="1"/>
  <c r="T77" i="1"/>
  <c r="M77" i="1"/>
  <c r="H77" i="1"/>
  <c r="G77" i="1"/>
  <c r="F77" i="1"/>
  <c r="T76" i="1"/>
  <c r="M76" i="1"/>
  <c r="L76" i="1"/>
  <c r="H76" i="1"/>
  <c r="G76" i="1"/>
  <c r="F76" i="1"/>
  <c r="I76" i="1" s="1"/>
  <c r="T75" i="1"/>
  <c r="M75" i="1"/>
  <c r="L75" i="1"/>
  <c r="H75" i="1"/>
  <c r="G75" i="1"/>
  <c r="F75" i="1"/>
  <c r="I75" i="1" s="1"/>
  <c r="N75" i="1" s="1"/>
  <c r="T74" i="1"/>
  <c r="N74" i="1"/>
  <c r="M74" i="1"/>
  <c r="K74" i="1"/>
  <c r="I74" i="1"/>
  <c r="H74" i="1"/>
  <c r="G74" i="1"/>
  <c r="F74" i="1"/>
  <c r="L74" i="1" s="1"/>
  <c r="T73" i="1"/>
  <c r="M73" i="1"/>
  <c r="H73" i="1"/>
  <c r="L73" i="1" s="1"/>
  <c r="G73" i="1"/>
  <c r="F73" i="1"/>
  <c r="T72" i="1"/>
  <c r="M72" i="1"/>
  <c r="L72" i="1"/>
  <c r="H72" i="1"/>
  <c r="G72" i="1"/>
  <c r="F72" i="1"/>
  <c r="I72" i="1" s="1"/>
  <c r="T71" i="1"/>
  <c r="M71" i="1"/>
  <c r="H71" i="1"/>
  <c r="G71" i="1"/>
  <c r="F71" i="1"/>
  <c r="T70" i="1"/>
  <c r="M70" i="1"/>
  <c r="H70" i="1"/>
  <c r="G70" i="1"/>
  <c r="F70" i="1"/>
  <c r="T69" i="1"/>
  <c r="M69" i="1"/>
  <c r="L69" i="1"/>
  <c r="H69" i="1"/>
  <c r="G69" i="1"/>
  <c r="F69" i="1"/>
  <c r="T68" i="1"/>
  <c r="M68" i="1"/>
  <c r="L68" i="1"/>
  <c r="H68" i="1"/>
  <c r="G68" i="1"/>
  <c r="F68" i="1"/>
  <c r="I68" i="1" s="1"/>
  <c r="N68" i="1" s="1"/>
  <c r="T67" i="1"/>
  <c r="M67" i="1"/>
  <c r="H67" i="1"/>
  <c r="G67" i="1"/>
  <c r="F67" i="1"/>
  <c r="I67" i="1" s="1"/>
  <c r="N67" i="1" s="1"/>
  <c r="T66" i="1"/>
  <c r="M66" i="1"/>
  <c r="H66" i="1"/>
  <c r="G66" i="1"/>
  <c r="F66" i="1"/>
  <c r="I66" i="1" s="1"/>
  <c r="N66" i="1" s="1"/>
  <c r="T65" i="1"/>
  <c r="M65" i="1"/>
  <c r="L65" i="1"/>
  <c r="H65" i="1"/>
  <c r="G65" i="1"/>
  <c r="F65" i="1"/>
  <c r="T64" i="1"/>
  <c r="M64" i="1"/>
  <c r="L64" i="1"/>
  <c r="H64" i="1"/>
  <c r="G64" i="1"/>
  <c r="F64" i="1"/>
  <c r="I64" i="1" s="1"/>
  <c r="N64" i="1" s="1"/>
  <c r="T63" i="1"/>
  <c r="M63" i="1"/>
  <c r="H63" i="1"/>
  <c r="G63" i="1"/>
  <c r="F63" i="1"/>
  <c r="I63" i="1" s="1"/>
  <c r="N63" i="1" s="1"/>
  <c r="T62" i="1"/>
  <c r="M62" i="1"/>
  <c r="H62" i="1"/>
  <c r="G62" i="1"/>
  <c r="F62" i="1"/>
  <c r="I62" i="1" s="1"/>
  <c r="N62" i="1" s="1"/>
  <c r="T61" i="1"/>
  <c r="M61" i="1"/>
  <c r="L61" i="1"/>
  <c r="H61" i="1"/>
  <c r="G61" i="1"/>
  <c r="F61" i="1"/>
  <c r="T60" i="1"/>
  <c r="M60" i="1"/>
  <c r="L60" i="1"/>
  <c r="H60" i="1"/>
  <c r="G60" i="1"/>
  <c r="F60" i="1"/>
  <c r="I60" i="1" s="1"/>
  <c r="N60" i="1" s="1"/>
  <c r="T59" i="1"/>
  <c r="M59" i="1"/>
  <c r="H59" i="1"/>
  <c r="G59" i="1"/>
  <c r="F59" i="1"/>
  <c r="I59" i="1" s="1"/>
  <c r="N59" i="1" s="1"/>
  <c r="T58" i="1"/>
  <c r="M58" i="1"/>
  <c r="H58" i="1"/>
  <c r="G58" i="1"/>
  <c r="F58" i="1"/>
  <c r="I58" i="1" s="1"/>
  <c r="N58" i="1" s="1"/>
  <c r="T57" i="1"/>
  <c r="M57" i="1"/>
  <c r="L57" i="1"/>
  <c r="H57" i="1"/>
  <c r="G57" i="1"/>
  <c r="F57" i="1"/>
  <c r="T56" i="1"/>
  <c r="M56" i="1"/>
  <c r="L56" i="1"/>
  <c r="H56" i="1"/>
  <c r="G56" i="1"/>
  <c r="F56" i="1"/>
  <c r="I56" i="1" s="1"/>
  <c r="N56" i="1" s="1"/>
  <c r="T55" i="1"/>
  <c r="M55" i="1"/>
  <c r="H55" i="1"/>
  <c r="G55" i="1"/>
  <c r="F55" i="1"/>
  <c r="I55" i="1" s="1"/>
  <c r="N55" i="1" s="1"/>
  <c r="T54" i="1"/>
  <c r="M54" i="1"/>
  <c r="H54" i="1"/>
  <c r="G54" i="1"/>
  <c r="F54" i="1"/>
  <c r="I54" i="1" s="1"/>
  <c r="N54" i="1" s="1"/>
  <c r="T53" i="1"/>
  <c r="M53" i="1"/>
  <c r="L53" i="1"/>
  <c r="I53" i="1"/>
  <c r="N53" i="1" s="1"/>
  <c r="H53" i="1"/>
  <c r="G53" i="1"/>
  <c r="F53" i="1"/>
  <c r="T52" i="1"/>
  <c r="M52" i="1"/>
  <c r="H52" i="1"/>
  <c r="G52" i="1"/>
  <c r="L52" i="1" s="1"/>
  <c r="F52" i="1"/>
  <c r="T51" i="1"/>
  <c r="M51" i="1"/>
  <c r="H51" i="1"/>
  <c r="G51" i="1"/>
  <c r="F51" i="1"/>
  <c r="L51" i="1" s="1"/>
  <c r="T50" i="1"/>
  <c r="M50" i="1"/>
  <c r="L50" i="1"/>
  <c r="H50" i="1"/>
  <c r="G50" i="1"/>
  <c r="F50" i="1"/>
  <c r="I50" i="1" s="1"/>
  <c r="T49" i="1"/>
  <c r="M49" i="1"/>
  <c r="L49" i="1"/>
  <c r="I49" i="1"/>
  <c r="N49" i="1" s="1"/>
  <c r="H49" i="1"/>
  <c r="G49" i="1"/>
  <c r="F49" i="1"/>
  <c r="T48" i="1"/>
  <c r="M48" i="1"/>
  <c r="H48" i="1"/>
  <c r="G48" i="1"/>
  <c r="L48" i="1" s="1"/>
  <c r="F48" i="1"/>
  <c r="T47" i="1"/>
  <c r="M47" i="1"/>
  <c r="H47" i="1"/>
  <c r="G47" i="1"/>
  <c r="F47" i="1"/>
  <c r="L47" i="1" s="1"/>
  <c r="T46" i="1"/>
  <c r="M46" i="1"/>
  <c r="L46" i="1"/>
  <c r="H46" i="1"/>
  <c r="G46" i="1"/>
  <c r="F46" i="1"/>
  <c r="I46" i="1" s="1"/>
  <c r="T45" i="1"/>
  <c r="M45" i="1"/>
  <c r="L45" i="1"/>
  <c r="I45" i="1"/>
  <c r="N45" i="1" s="1"/>
  <c r="H45" i="1"/>
  <c r="G45" i="1"/>
  <c r="F45" i="1"/>
  <c r="T44" i="1"/>
  <c r="M44" i="1"/>
  <c r="H44" i="1"/>
  <c r="G44" i="1"/>
  <c r="L44" i="1" s="1"/>
  <c r="F44" i="1"/>
  <c r="T43" i="1"/>
  <c r="M43" i="1"/>
  <c r="H43" i="1"/>
  <c r="G43" i="1"/>
  <c r="F43" i="1"/>
  <c r="L43" i="1" s="1"/>
  <c r="T42" i="1"/>
  <c r="M42" i="1"/>
  <c r="L42" i="1"/>
  <c r="H42" i="1"/>
  <c r="G42" i="1"/>
  <c r="F42" i="1"/>
  <c r="I42" i="1" s="1"/>
  <c r="T41" i="1"/>
  <c r="M41" i="1"/>
  <c r="L41" i="1"/>
  <c r="I41" i="1"/>
  <c r="N41" i="1" s="1"/>
  <c r="H41" i="1"/>
  <c r="G41" i="1"/>
  <c r="F41" i="1"/>
  <c r="T40" i="1"/>
  <c r="M40" i="1"/>
  <c r="H40" i="1"/>
  <c r="G40" i="1"/>
  <c r="L40" i="1" s="1"/>
  <c r="F40" i="1"/>
  <c r="T39" i="1"/>
  <c r="M39" i="1"/>
  <c r="H39" i="1"/>
  <c r="G39" i="1"/>
  <c r="F39" i="1"/>
  <c r="L39" i="1" s="1"/>
  <c r="T38" i="1"/>
  <c r="M38" i="1"/>
  <c r="L38" i="1"/>
  <c r="H38" i="1"/>
  <c r="G38" i="1"/>
  <c r="F38" i="1"/>
  <c r="I38" i="1" s="1"/>
  <c r="T37" i="1"/>
  <c r="M37" i="1"/>
  <c r="L37" i="1"/>
  <c r="I37" i="1"/>
  <c r="N37" i="1" s="1"/>
  <c r="H37" i="1"/>
  <c r="G37" i="1"/>
  <c r="F37" i="1"/>
  <c r="T36" i="1"/>
  <c r="M36" i="1"/>
  <c r="H36" i="1"/>
  <c r="G36" i="1"/>
  <c r="L36" i="1" s="1"/>
  <c r="F36" i="1"/>
  <c r="T35" i="1"/>
  <c r="M35" i="1"/>
  <c r="H35" i="1"/>
  <c r="G35" i="1"/>
  <c r="F35" i="1"/>
  <c r="L35" i="1" s="1"/>
  <c r="T34" i="1"/>
  <c r="M34" i="1"/>
  <c r="L34" i="1"/>
  <c r="H34" i="1"/>
  <c r="G34" i="1"/>
  <c r="F34" i="1"/>
  <c r="I34" i="1" s="1"/>
  <c r="T33" i="1"/>
  <c r="M33" i="1"/>
  <c r="L33" i="1"/>
  <c r="I33" i="1"/>
  <c r="N33" i="1" s="1"/>
  <c r="H33" i="1"/>
  <c r="G33" i="1"/>
  <c r="F33" i="1"/>
  <c r="T32" i="1"/>
  <c r="M32" i="1"/>
  <c r="H32" i="1"/>
  <c r="G32" i="1"/>
  <c r="L32" i="1" s="1"/>
  <c r="F32" i="1"/>
  <c r="T31" i="1"/>
  <c r="M31" i="1"/>
  <c r="H31" i="1"/>
  <c r="G31" i="1"/>
  <c r="F31" i="1"/>
  <c r="L31" i="1" s="1"/>
  <c r="T30" i="1"/>
  <c r="M30" i="1"/>
  <c r="L30" i="1"/>
  <c r="H30" i="1"/>
  <c r="G30" i="1"/>
  <c r="F30" i="1"/>
  <c r="I30" i="1" s="1"/>
  <c r="T29" i="1"/>
  <c r="M29" i="1"/>
  <c r="L29" i="1"/>
  <c r="I29" i="1"/>
  <c r="N29" i="1" s="1"/>
  <c r="H29" i="1"/>
  <c r="G29" i="1"/>
  <c r="F29" i="1"/>
  <c r="T28" i="1"/>
  <c r="M28" i="1"/>
  <c r="H28" i="1"/>
  <c r="G28" i="1"/>
  <c r="L28" i="1" s="1"/>
  <c r="F28" i="1"/>
  <c r="T27" i="1"/>
  <c r="M27" i="1"/>
  <c r="H27" i="1"/>
  <c r="G27" i="1"/>
  <c r="F27" i="1"/>
  <c r="L27" i="1" s="1"/>
  <c r="T26" i="1"/>
  <c r="M26" i="1"/>
  <c r="L26" i="1"/>
  <c r="H26" i="1"/>
  <c r="G26" i="1"/>
  <c r="F26" i="1"/>
  <c r="I26" i="1" s="1"/>
  <c r="T25" i="1"/>
  <c r="M25" i="1"/>
  <c r="L25" i="1"/>
  <c r="I25" i="1"/>
  <c r="N25" i="1" s="1"/>
  <c r="H25" i="1"/>
  <c r="G25" i="1"/>
  <c r="F25" i="1"/>
  <c r="T24" i="1"/>
  <c r="M24" i="1"/>
  <c r="H24" i="1"/>
  <c r="I24" i="1" s="1"/>
  <c r="G24" i="1"/>
  <c r="L24" i="1" s="1"/>
  <c r="F24" i="1"/>
  <c r="T23" i="1"/>
  <c r="M23" i="1"/>
  <c r="H23" i="1"/>
  <c r="I23" i="1" s="1"/>
  <c r="G23" i="1"/>
  <c r="F23" i="1"/>
  <c r="T22" i="1"/>
  <c r="M22" i="1"/>
  <c r="H22" i="1"/>
  <c r="I22" i="1" s="1"/>
  <c r="G22" i="1"/>
  <c r="F22" i="1"/>
  <c r="T21" i="1"/>
  <c r="M21" i="1"/>
  <c r="H21" i="1"/>
  <c r="I21" i="1" s="1"/>
  <c r="G21" i="1"/>
  <c r="F21" i="1"/>
  <c r="T20" i="1"/>
  <c r="M20" i="1"/>
  <c r="H20" i="1"/>
  <c r="L20" i="1" s="1"/>
  <c r="G20" i="1"/>
  <c r="F20" i="1"/>
  <c r="T19" i="1"/>
  <c r="M19" i="1"/>
  <c r="H19" i="1"/>
  <c r="I19" i="1" s="1"/>
  <c r="G19" i="1"/>
  <c r="F19" i="1"/>
  <c r="T18" i="1"/>
  <c r="M18" i="1"/>
  <c r="H18" i="1"/>
  <c r="L18" i="1" s="1"/>
  <c r="G18" i="1"/>
  <c r="F18" i="1"/>
  <c r="T17" i="1"/>
  <c r="M17" i="1"/>
  <c r="H17" i="1"/>
  <c r="L17" i="1" s="1"/>
  <c r="G17" i="1"/>
  <c r="F17" i="1"/>
  <c r="T16" i="1"/>
  <c r="M16" i="1"/>
  <c r="H16" i="1"/>
  <c r="I16" i="1" s="1"/>
  <c r="G16" i="1"/>
  <c r="F16" i="1"/>
  <c r="T15" i="1"/>
  <c r="M15" i="1"/>
  <c r="H15" i="1"/>
  <c r="L15" i="1" s="1"/>
  <c r="G15" i="1"/>
  <c r="F15" i="1"/>
  <c r="T14" i="1"/>
  <c r="M14" i="1"/>
  <c r="H14" i="1"/>
  <c r="L14" i="1" s="1"/>
  <c r="G14" i="1"/>
  <c r="F14" i="1"/>
  <c r="T13" i="1"/>
  <c r="M13" i="1"/>
  <c r="H13" i="1"/>
  <c r="L13" i="1" s="1"/>
  <c r="G13" i="1"/>
  <c r="F13" i="1"/>
  <c r="T12" i="1"/>
  <c r="M12" i="1"/>
  <c r="H12" i="1"/>
  <c r="I12" i="1" s="1"/>
  <c r="G12" i="1"/>
  <c r="F12" i="1"/>
  <c r="T11" i="1"/>
  <c r="M11" i="1"/>
  <c r="H11" i="1"/>
  <c r="L11" i="1" s="1"/>
  <c r="G11" i="1"/>
  <c r="F11" i="1"/>
  <c r="T10" i="1"/>
  <c r="M10" i="1"/>
  <c r="H10" i="1"/>
  <c r="I10" i="1" s="1"/>
  <c r="G10" i="1"/>
  <c r="F10" i="1"/>
  <c r="T9" i="1"/>
  <c r="M9" i="1"/>
  <c r="H9" i="1"/>
  <c r="L9" i="1" s="1"/>
  <c r="G9" i="1"/>
  <c r="F9" i="1"/>
  <c r="T8" i="1"/>
  <c r="M8" i="1"/>
  <c r="H8" i="1"/>
  <c r="L8" i="1" s="1"/>
  <c r="G8" i="1"/>
  <c r="F8" i="1"/>
  <c r="T7" i="1"/>
  <c r="M7" i="1"/>
  <c r="H7" i="1"/>
  <c r="L7" i="1" s="1"/>
  <c r="G7" i="1"/>
  <c r="F7" i="1"/>
  <c r="N30" i="1" l="1"/>
  <c r="K30" i="1"/>
  <c r="O30" i="1" s="1"/>
  <c r="P30" i="1" s="1"/>
  <c r="Q30" i="1" s="1"/>
  <c r="O23" i="1"/>
  <c r="N23" i="1"/>
  <c r="K23" i="1"/>
  <c r="P41" i="1"/>
  <c r="Q41" i="1" s="1"/>
  <c r="N8" i="2"/>
  <c r="K8" i="2"/>
  <c r="O8" i="2"/>
  <c r="N21" i="1"/>
  <c r="K21" i="1"/>
  <c r="O21" i="1" s="1"/>
  <c r="O10" i="1"/>
  <c r="N10" i="1"/>
  <c r="K10" i="1"/>
  <c r="N26" i="1"/>
  <c r="K26" i="1"/>
  <c r="O26" i="1" s="1"/>
  <c r="P26" i="1" s="1"/>
  <c r="Q26" i="1" s="1"/>
  <c r="N12" i="1"/>
  <c r="K12" i="1"/>
  <c r="O12" i="1" s="1"/>
  <c r="N50" i="1"/>
  <c r="P50" i="1" s="1"/>
  <c r="Q50" i="1" s="1"/>
  <c r="K50" i="1"/>
  <c r="O50" i="1"/>
  <c r="P64" i="1"/>
  <c r="Q64" i="1" s="1"/>
  <c r="N46" i="1"/>
  <c r="K46" i="1"/>
  <c r="O46" i="1"/>
  <c r="P46" i="1" s="1"/>
  <c r="Q46" i="1" s="1"/>
  <c r="O22" i="1"/>
  <c r="N22" i="1"/>
  <c r="K22" i="1"/>
  <c r="N42" i="1"/>
  <c r="P42" i="1" s="1"/>
  <c r="Q42" i="1" s="1"/>
  <c r="K42" i="1"/>
  <c r="O42" i="1"/>
  <c r="N19" i="1"/>
  <c r="K19" i="1"/>
  <c r="O19" i="1" s="1"/>
  <c r="N38" i="1"/>
  <c r="P38" i="1" s="1"/>
  <c r="Q38" i="1" s="1"/>
  <c r="K38" i="1"/>
  <c r="O38" i="1"/>
  <c r="O16" i="1"/>
  <c r="N16" i="1"/>
  <c r="K16" i="1"/>
  <c r="O24" i="1"/>
  <c r="N24" i="1"/>
  <c r="P24" i="1" s="1"/>
  <c r="Q24" i="1" s="1"/>
  <c r="K24" i="1"/>
  <c r="N34" i="1"/>
  <c r="P34" i="1" s="1"/>
  <c r="Q34" i="1" s="1"/>
  <c r="K34" i="1"/>
  <c r="O34" i="1"/>
  <c r="N18" i="2"/>
  <c r="K18" i="2"/>
  <c r="O18" i="2" s="1"/>
  <c r="K29" i="1"/>
  <c r="O29" i="1" s="1"/>
  <c r="P29" i="1" s="1"/>
  <c r="Q29" i="1" s="1"/>
  <c r="I28" i="1"/>
  <c r="I32" i="1"/>
  <c r="I36" i="1"/>
  <c r="I40" i="1"/>
  <c r="I44" i="1"/>
  <c r="I48" i="1"/>
  <c r="I52" i="1"/>
  <c r="O68" i="1"/>
  <c r="P68" i="1" s="1"/>
  <c r="Q68" i="1" s="1"/>
  <c r="N83" i="1"/>
  <c r="K83" i="1"/>
  <c r="O83" i="1" s="1"/>
  <c r="P83" i="1" s="1"/>
  <c r="Q83" i="1" s="1"/>
  <c r="K88" i="1"/>
  <c r="O88" i="1" s="1"/>
  <c r="P88" i="1" s="1"/>
  <c r="Q88" i="1" s="1"/>
  <c r="N91" i="1"/>
  <c r="K91" i="1"/>
  <c r="O91" i="1" s="1"/>
  <c r="K93" i="1"/>
  <c r="O93" i="1"/>
  <c r="N93" i="1"/>
  <c r="H100" i="1"/>
  <c r="N22" i="2"/>
  <c r="K22" i="2"/>
  <c r="O22" i="2" s="1"/>
  <c r="P22" i="2" s="1"/>
  <c r="Q22" i="2" s="1"/>
  <c r="L23" i="2"/>
  <c r="E23" i="2"/>
  <c r="N27" i="2"/>
  <c r="P27" i="2" s="1"/>
  <c r="Q27" i="2" s="1"/>
  <c r="K27" i="2"/>
  <c r="O27" i="2"/>
  <c r="L34" i="2"/>
  <c r="E34" i="2"/>
  <c r="L42" i="2"/>
  <c r="E42" i="2"/>
  <c r="L19" i="2"/>
  <c r="E19" i="2"/>
  <c r="N28" i="2"/>
  <c r="K28" i="2"/>
  <c r="O28" i="2" s="1"/>
  <c r="E62" i="2"/>
  <c r="L62" i="2"/>
  <c r="I8" i="1"/>
  <c r="I9" i="1"/>
  <c r="I13" i="1"/>
  <c r="I17" i="1"/>
  <c r="I18" i="1"/>
  <c r="I20" i="1"/>
  <c r="K37" i="1"/>
  <c r="K41" i="1"/>
  <c r="K53" i="1"/>
  <c r="N12" i="2"/>
  <c r="P12" i="2" s="1"/>
  <c r="Q12" i="2" s="1"/>
  <c r="K12" i="2"/>
  <c r="O12" i="2"/>
  <c r="L35" i="2"/>
  <c r="E35" i="2"/>
  <c r="L10" i="1"/>
  <c r="L100" i="1" s="1"/>
  <c r="L16" i="1"/>
  <c r="L19" i="1"/>
  <c r="L21" i="1"/>
  <c r="L22" i="1"/>
  <c r="L23" i="1"/>
  <c r="K54" i="1"/>
  <c r="K58" i="1"/>
  <c r="K62" i="1"/>
  <c r="K66" i="1"/>
  <c r="N78" i="1"/>
  <c r="O80" i="1"/>
  <c r="L91" i="1"/>
  <c r="K99" i="1"/>
  <c r="O99" i="1" s="1"/>
  <c r="L11" i="2"/>
  <c r="E17" i="2"/>
  <c r="L17" i="2"/>
  <c r="L33" i="2"/>
  <c r="E33" i="2"/>
  <c r="L41" i="2"/>
  <c r="E41" i="2"/>
  <c r="L70" i="1"/>
  <c r="I70" i="1"/>
  <c r="L77" i="1"/>
  <c r="I77" i="1"/>
  <c r="I11" i="1"/>
  <c r="I14" i="1"/>
  <c r="K25" i="1"/>
  <c r="T100" i="1"/>
  <c r="T101" i="1" s="1"/>
  <c r="T88" i="2" s="1"/>
  <c r="T101" i="3" s="1"/>
  <c r="M100" i="1"/>
  <c r="O25" i="1"/>
  <c r="P25" i="1" s="1"/>
  <c r="Q25" i="1" s="1"/>
  <c r="I27" i="1"/>
  <c r="I31" i="1"/>
  <c r="I35" i="1"/>
  <c r="O37" i="1"/>
  <c r="P37" i="1" s="1"/>
  <c r="Q37" i="1" s="1"/>
  <c r="I39" i="1"/>
  <c r="O41" i="1"/>
  <c r="I43" i="1"/>
  <c r="I47" i="1"/>
  <c r="I51" i="1"/>
  <c r="O53" i="1"/>
  <c r="P53" i="1" s="1"/>
  <c r="Q53" i="1" s="1"/>
  <c r="L54" i="1"/>
  <c r="L58" i="1"/>
  <c r="P58" i="1" s="1"/>
  <c r="Q58" i="1" s="1"/>
  <c r="L62" i="1"/>
  <c r="P62" i="1" s="1"/>
  <c r="Q62" i="1" s="1"/>
  <c r="L66" i="1"/>
  <c r="O78" i="1"/>
  <c r="P78" i="1" s="1"/>
  <c r="Q78" i="1" s="1"/>
  <c r="I82" i="1"/>
  <c r="K85" i="1"/>
  <c r="O85" i="1"/>
  <c r="P85" i="1" s="1"/>
  <c r="Q85" i="1" s="1"/>
  <c r="N85" i="1"/>
  <c r="N90" i="1"/>
  <c r="O92" i="1"/>
  <c r="F87" i="2"/>
  <c r="L9" i="2"/>
  <c r="E9" i="2"/>
  <c r="E10" i="2"/>
  <c r="L10" i="2"/>
  <c r="N16" i="2"/>
  <c r="P16" i="2" s="1"/>
  <c r="Q16" i="2" s="1"/>
  <c r="K16" i="2"/>
  <c r="O16" i="2"/>
  <c r="L26" i="2"/>
  <c r="E26" i="2"/>
  <c r="L32" i="2"/>
  <c r="E32" i="2"/>
  <c r="L40" i="2"/>
  <c r="E40" i="2"/>
  <c r="N69" i="2"/>
  <c r="K69" i="2"/>
  <c r="O69" i="2"/>
  <c r="E81" i="2"/>
  <c r="L81" i="2"/>
  <c r="L36" i="2"/>
  <c r="E36" i="2"/>
  <c r="K45" i="1"/>
  <c r="O45" i="1" s="1"/>
  <c r="P45" i="1" s="1"/>
  <c r="Q45" i="1" s="1"/>
  <c r="K49" i="1"/>
  <c r="O49" i="1" s="1"/>
  <c r="P49" i="1" s="1"/>
  <c r="Q49" i="1" s="1"/>
  <c r="L71" i="1"/>
  <c r="I71" i="1"/>
  <c r="K55" i="1"/>
  <c r="O55" i="1" s="1"/>
  <c r="K59" i="1"/>
  <c r="O59" i="1" s="1"/>
  <c r="K63" i="1"/>
  <c r="O63" i="1" s="1"/>
  <c r="K67" i="1"/>
  <c r="O67" i="1" s="1"/>
  <c r="I73" i="1"/>
  <c r="K76" i="1"/>
  <c r="O76" i="1"/>
  <c r="P76" i="1" s="1"/>
  <c r="Q76" i="1" s="1"/>
  <c r="N76" i="1"/>
  <c r="N87" i="1"/>
  <c r="K87" i="1"/>
  <c r="O87" i="1" s="1"/>
  <c r="O90" i="1"/>
  <c r="K92" i="1"/>
  <c r="P93" i="1"/>
  <c r="Q93" i="1" s="1"/>
  <c r="I94" i="1"/>
  <c r="N95" i="1"/>
  <c r="K95" i="1"/>
  <c r="O95" i="1" s="1"/>
  <c r="O97" i="1"/>
  <c r="P97" i="1" s="1"/>
  <c r="Q97" i="1" s="1"/>
  <c r="K97" i="1"/>
  <c r="N97" i="1"/>
  <c r="E21" i="2"/>
  <c r="L21" i="2"/>
  <c r="L31" i="2"/>
  <c r="E31" i="2"/>
  <c r="L39" i="2"/>
  <c r="E39" i="2"/>
  <c r="P48" i="2"/>
  <c r="Q48" i="2" s="1"/>
  <c r="N53" i="2"/>
  <c r="P53" i="2" s="1"/>
  <c r="Q53" i="2" s="1"/>
  <c r="K53" i="2"/>
  <c r="O53" i="2" s="1"/>
  <c r="L44" i="2"/>
  <c r="E44" i="2"/>
  <c r="I7" i="1"/>
  <c r="I15" i="1"/>
  <c r="K33" i="1"/>
  <c r="O33" i="1" s="1"/>
  <c r="P33" i="1" s="1"/>
  <c r="Q33" i="1" s="1"/>
  <c r="N11" i="2"/>
  <c r="K11" i="2"/>
  <c r="O11" i="2"/>
  <c r="L61" i="2"/>
  <c r="E61" i="2"/>
  <c r="L12" i="1"/>
  <c r="F100" i="1"/>
  <c r="O54" i="1"/>
  <c r="L55" i="1"/>
  <c r="P55" i="1" s="1"/>
  <c r="Q55" i="1" s="1"/>
  <c r="I57" i="1"/>
  <c r="O58" i="1"/>
  <c r="L59" i="1"/>
  <c r="I61" i="1"/>
  <c r="O62" i="1"/>
  <c r="L63" i="1"/>
  <c r="P63" i="1" s="1"/>
  <c r="Q63" i="1" s="1"/>
  <c r="I65" i="1"/>
  <c r="O66" i="1"/>
  <c r="L67" i="1"/>
  <c r="P67" i="1" s="1"/>
  <c r="Q67" i="1" s="1"/>
  <c r="I69" i="1"/>
  <c r="O74" i="1"/>
  <c r="P74" i="1" s="1"/>
  <c r="Q74" i="1" s="1"/>
  <c r="N80" i="1"/>
  <c r="P80" i="1" s="1"/>
  <c r="Q80" i="1" s="1"/>
  <c r="O84" i="1"/>
  <c r="P84" i="1" s="1"/>
  <c r="Q84" i="1" s="1"/>
  <c r="L95" i="1"/>
  <c r="N99" i="1"/>
  <c r="P99" i="1" s="1"/>
  <c r="Q99" i="1" s="1"/>
  <c r="N7" i="2"/>
  <c r="K7" i="2"/>
  <c r="O7" i="2" s="1"/>
  <c r="N14" i="2"/>
  <c r="P14" i="2" s="1"/>
  <c r="Q14" i="2" s="1"/>
  <c r="K14" i="2"/>
  <c r="O14" i="2"/>
  <c r="L15" i="2"/>
  <c r="E15" i="2"/>
  <c r="N20" i="2"/>
  <c r="K20" i="2"/>
  <c r="O20" i="2" s="1"/>
  <c r="L30" i="2"/>
  <c r="E30" i="2"/>
  <c r="L38" i="2"/>
  <c r="E38" i="2"/>
  <c r="E58" i="2"/>
  <c r="L58" i="2"/>
  <c r="P64" i="2"/>
  <c r="Q64" i="2" s="1"/>
  <c r="N72" i="1"/>
  <c r="P72" i="1" s="1"/>
  <c r="Q72" i="1" s="1"/>
  <c r="K72" i="1"/>
  <c r="O72" i="1" s="1"/>
  <c r="K81" i="1"/>
  <c r="O81" i="1" s="1"/>
  <c r="N81" i="1"/>
  <c r="P81" i="1" s="1"/>
  <c r="Q81" i="1" s="1"/>
  <c r="E13" i="2"/>
  <c r="L13" i="2"/>
  <c r="L43" i="2"/>
  <c r="E43" i="2"/>
  <c r="G100" i="1"/>
  <c r="K56" i="1"/>
  <c r="O56" i="1" s="1"/>
  <c r="P56" i="1" s="1"/>
  <c r="Q56" i="1" s="1"/>
  <c r="K60" i="1"/>
  <c r="O60" i="1" s="1"/>
  <c r="P60" i="1" s="1"/>
  <c r="Q60" i="1" s="1"/>
  <c r="K64" i="1"/>
  <c r="O64" i="1" s="1"/>
  <c r="K68" i="1"/>
  <c r="K75" i="1"/>
  <c r="O75" i="1" s="1"/>
  <c r="P75" i="1" s="1"/>
  <c r="Q75" i="1" s="1"/>
  <c r="I79" i="1"/>
  <c r="I86" i="1"/>
  <c r="K89" i="1"/>
  <c r="O89" i="1" s="1"/>
  <c r="N89" i="1"/>
  <c r="P90" i="1"/>
  <c r="Q90" i="1" s="1"/>
  <c r="N92" i="1"/>
  <c r="P92" i="1" s="1"/>
  <c r="Q92" i="1" s="1"/>
  <c r="O96" i="1"/>
  <c r="P96" i="1" s="1"/>
  <c r="Q96" i="1" s="1"/>
  <c r="L8" i="2"/>
  <c r="N25" i="2"/>
  <c r="K25" i="2"/>
  <c r="O25" i="2"/>
  <c r="E29" i="2"/>
  <c r="L37" i="2"/>
  <c r="E37" i="2"/>
  <c r="L45" i="2"/>
  <c r="E45" i="2"/>
  <c r="E46" i="2"/>
  <c r="L46" i="2"/>
  <c r="E57" i="2"/>
  <c r="G87" i="2"/>
  <c r="L28" i="2"/>
  <c r="O47" i="2"/>
  <c r="E49" i="2"/>
  <c r="E54" i="2"/>
  <c r="L54" i="2"/>
  <c r="O98" i="1"/>
  <c r="H87" i="2"/>
  <c r="L29" i="2"/>
  <c r="E50" i="2"/>
  <c r="L50" i="2"/>
  <c r="P63" i="2"/>
  <c r="Q63" i="2" s="1"/>
  <c r="E24" i="2"/>
  <c r="N72" i="2"/>
  <c r="K72" i="2"/>
  <c r="O72" i="2"/>
  <c r="P72" i="2" s="1"/>
  <c r="Q72" i="2" s="1"/>
  <c r="O67" i="3"/>
  <c r="N67" i="3"/>
  <c r="K67" i="3"/>
  <c r="P51" i="2"/>
  <c r="Q51" i="2" s="1"/>
  <c r="N65" i="2"/>
  <c r="K65" i="2"/>
  <c r="O65" i="2" s="1"/>
  <c r="E66" i="2"/>
  <c r="L66" i="2"/>
  <c r="O77" i="2"/>
  <c r="N98" i="1"/>
  <c r="P98" i="1" s="1"/>
  <c r="Q98" i="1" s="1"/>
  <c r="T87" i="2"/>
  <c r="L25" i="2"/>
  <c r="O59" i="2"/>
  <c r="K13" i="3"/>
  <c r="O13" i="3" s="1"/>
  <c r="N13" i="3"/>
  <c r="P13" i="3" s="1"/>
  <c r="Q13" i="3" s="1"/>
  <c r="N78" i="2"/>
  <c r="K18" i="3"/>
  <c r="O18" i="3"/>
  <c r="N18" i="3"/>
  <c r="P18" i="3" s="1"/>
  <c r="Q18" i="3" s="1"/>
  <c r="K34" i="3"/>
  <c r="O34" i="3" s="1"/>
  <c r="N34" i="3"/>
  <c r="N48" i="2"/>
  <c r="N52" i="2"/>
  <c r="P52" i="2" s="1"/>
  <c r="Q52" i="2" s="1"/>
  <c r="N56" i="2"/>
  <c r="P56" i="2" s="1"/>
  <c r="Q56" i="2" s="1"/>
  <c r="N60" i="2"/>
  <c r="P60" i="2" s="1"/>
  <c r="Q60" i="2" s="1"/>
  <c r="N64" i="2"/>
  <c r="E67" i="2"/>
  <c r="L67" i="2"/>
  <c r="L69" i="2"/>
  <c r="N71" i="2"/>
  <c r="E73" i="2"/>
  <c r="L73" i="2"/>
  <c r="K78" i="2"/>
  <c r="O78" i="2" s="1"/>
  <c r="K26" i="3"/>
  <c r="O26" i="3" s="1"/>
  <c r="N26" i="3"/>
  <c r="P26" i="3" s="1"/>
  <c r="Q26" i="3" s="1"/>
  <c r="L59" i="3"/>
  <c r="I59" i="3"/>
  <c r="K71" i="2"/>
  <c r="O71" i="2" s="1"/>
  <c r="N75" i="2"/>
  <c r="K75" i="2"/>
  <c r="O75" i="2" s="1"/>
  <c r="L78" i="2"/>
  <c r="N47" i="2"/>
  <c r="P47" i="2" s="1"/>
  <c r="Q47" i="2" s="1"/>
  <c r="N51" i="2"/>
  <c r="N55" i="2"/>
  <c r="P55" i="2" s="1"/>
  <c r="Q55" i="2" s="1"/>
  <c r="N59" i="2"/>
  <c r="P59" i="2" s="1"/>
  <c r="Q59" i="2" s="1"/>
  <c r="N63" i="2"/>
  <c r="N68" i="2"/>
  <c r="P68" i="2" s="1"/>
  <c r="Q68" i="2" s="1"/>
  <c r="O68" i="2"/>
  <c r="L71" i="2"/>
  <c r="N84" i="2"/>
  <c r="K84" i="2"/>
  <c r="O84" i="2" s="1"/>
  <c r="P84" i="2" s="1"/>
  <c r="Q84" i="2" s="1"/>
  <c r="P9" i="3"/>
  <c r="Q9" i="3" s="1"/>
  <c r="I25" i="3"/>
  <c r="L25" i="3"/>
  <c r="K40" i="3"/>
  <c r="O40" i="3"/>
  <c r="N40" i="3"/>
  <c r="L51" i="3"/>
  <c r="I51" i="3"/>
  <c r="N77" i="2"/>
  <c r="P77" i="2" s="1"/>
  <c r="Q77" i="2" s="1"/>
  <c r="K77" i="2"/>
  <c r="K8" i="3"/>
  <c r="O8" i="3"/>
  <c r="N8" i="3"/>
  <c r="K11" i="3"/>
  <c r="O11" i="3"/>
  <c r="N11" i="3"/>
  <c r="K15" i="3"/>
  <c r="O15" i="3" s="1"/>
  <c r="N15" i="3"/>
  <c r="L28" i="3"/>
  <c r="I28" i="3"/>
  <c r="M87" i="2"/>
  <c r="K48" i="2"/>
  <c r="O48" i="2" s="1"/>
  <c r="K52" i="2"/>
  <c r="O52" i="2" s="1"/>
  <c r="K56" i="2"/>
  <c r="O56" i="2" s="1"/>
  <c r="K60" i="2"/>
  <c r="O60" i="2" s="1"/>
  <c r="K64" i="2"/>
  <c r="O64" i="2" s="1"/>
  <c r="P74" i="2"/>
  <c r="Q74" i="2" s="1"/>
  <c r="N80" i="2"/>
  <c r="P8" i="3"/>
  <c r="Q8" i="3" s="1"/>
  <c r="K27" i="3"/>
  <c r="O27" i="3"/>
  <c r="N27" i="3"/>
  <c r="K68" i="2"/>
  <c r="E70" i="2"/>
  <c r="N76" i="2"/>
  <c r="P76" i="2" s="1"/>
  <c r="Q76" i="2" s="1"/>
  <c r="O76" i="2"/>
  <c r="N79" i="2"/>
  <c r="K79" i="2"/>
  <c r="O79" i="2" s="1"/>
  <c r="L14" i="3"/>
  <c r="I14" i="3"/>
  <c r="L23" i="3"/>
  <c r="I23" i="3"/>
  <c r="O82" i="2"/>
  <c r="N82" i="2"/>
  <c r="K82" i="2"/>
  <c r="E85" i="2"/>
  <c r="L85" i="2"/>
  <c r="K12" i="3"/>
  <c r="O12" i="3" s="1"/>
  <c r="P12" i="3" s="1"/>
  <c r="Q12" i="3" s="1"/>
  <c r="N12" i="3"/>
  <c r="I17" i="3"/>
  <c r="L17" i="3"/>
  <c r="K19" i="3"/>
  <c r="O19" i="3"/>
  <c r="L20" i="3"/>
  <c r="I20" i="3"/>
  <c r="L36" i="3"/>
  <c r="I36" i="3"/>
  <c r="P40" i="3"/>
  <c r="Q40" i="3" s="1"/>
  <c r="L55" i="3"/>
  <c r="I55" i="3"/>
  <c r="E86" i="2"/>
  <c r="L86" i="2"/>
  <c r="N9" i="3"/>
  <c r="K24" i="3"/>
  <c r="O24" i="3"/>
  <c r="N24" i="3"/>
  <c r="P24" i="3" s="1"/>
  <c r="Q24" i="3" s="1"/>
  <c r="L42" i="3"/>
  <c r="I42" i="3"/>
  <c r="N62" i="3"/>
  <c r="K62" i="3"/>
  <c r="O62" i="3" s="1"/>
  <c r="P62" i="3" s="1"/>
  <c r="Q62" i="3" s="1"/>
  <c r="F100" i="3"/>
  <c r="L7" i="3"/>
  <c r="T100" i="3"/>
  <c r="K16" i="3"/>
  <c r="O16" i="3"/>
  <c r="N16" i="3"/>
  <c r="P27" i="3"/>
  <c r="Q27" i="3" s="1"/>
  <c r="N31" i="3"/>
  <c r="L49" i="3"/>
  <c r="I49" i="3"/>
  <c r="K58" i="3"/>
  <c r="O58" i="3" s="1"/>
  <c r="N58" i="3"/>
  <c r="O80" i="2"/>
  <c r="P80" i="2" s="1"/>
  <c r="Q80" i="2" s="1"/>
  <c r="L82" i="2"/>
  <c r="P82" i="2" s="1"/>
  <c r="Q82" i="2" s="1"/>
  <c r="G100" i="3"/>
  <c r="P16" i="3"/>
  <c r="Q16" i="3" s="1"/>
  <c r="L35" i="3"/>
  <c r="I35" i="3"/>
  <c r="L57" i="3"/>
  <c r="I57" i="3"/>
  <c r="P75" i="2"/>
  <c r="Q75" i="2" s="1"/>
  <c r="P79" i="2"/>
  <c r="Q79" i="2" s="1"/>
  <c r="H100" i="3"/>
  <c r="N22" i="3"/>
  <c r="P22" i="3" s="1"/>
  <c r="Q22" i="3" s="1"/>
  <c r="L32" i="3"/>
  <c r="I32" i="3"/>
  <c r="L41" i="3"/>
  <c r="I41" i="3"/>
  <c r="I7" i="3"/>
  <c r="L10" i="3"/>
  <c r="I10" i="3"/>
  <c r="L11" i="3"/>
  <c r="N19" i="3"/>
  <c r="P19" i="3" s="1"/>
  <c r="Q19" i="3" s="1"/>
  <c r="O22" i="3"/>
  <c r="L30" i="3"/>
  <c r="I30" i="3"/>
  <c r="K44" i="3"/>
  <c r="O44" i="3"/>
  <c r="P44" i="3" s="1"/>
  <c r="Q44" i="3" s="1"/>
  <c r="K48" i="3"/>
  <c r="O48" i="3"/>
  <c r="P48" i="3" s="1"/>
  <c r="Q48" i="3" s="1"/>
  <c r="N48" i="3"/>
  <c r="K60" i="3"/>
  <c r="O60" i="3"/>
  <c r="P60" i="3" s="1"/>
  <c r="Q60" i="3" s="1"/>
  <c r="N60" i="3"/>
  <c r="I89" i="3"/>
  <c r="L89" i="3"/>
  <c r="L33" i="3"/>
  <c r="L43" i="3"/>
  <c r="I43" i="3"/>
  <c r="K50" i="3"/>
  <c r="O50" i="3" s="1"/>
  <c r="P50" i="3" s="1"/>
  <c r="Q50" i="3" s="1"/>
  <c r="L53" i="3"/>
  <c r="I53" i="3"/>
  <c r="K56" i="3"/>
  <c r="O56" i="3" s="1"/>
  <c r="L64" i="3"/>
  <c r="I64" i="3"/>
  <c r="L75" i="3"/>
  <c r="I75" i="3"/>
  <c r="M100" i="3"/>
  <c r="L37" i="3"/>
  <c r="I37" i="3"/>
  <c r="K52" i="3"/>
  <c r="O52" i="3"/>
  <c r="K54" i="3"/>
  <c r="O54" i="3"/>
  <c r="O77" i="3"/>
  <c r="N77" i="3"/>
  <c r="P77" i="3" s="1"/>
  <c r="Q77" i="3" s="1"/>
  <c r="L29" i="3"/>
  <c r="I29" i="3"/>
  <c r="L45" i="3"/>
  <c r="I45" i="3"/>
  <c r="P52" i="3"/>
  <c r="Q52" i="3" s="1"/>
  <c r="N56" i="3"/>
  <c r="K77" i="3"/>
  <c r="I85" i="3"/>
  <c r="L85" i="3"/>
  <c r="E83" i="2"/>
  <c r="I21" i="3"/>
  <c r="I33" i="3"/>
  <c r="N50" i="3"/>
  <c r="N54" i="3"/>
  <c r="P54" i="3" s="1"/>
  <c r="Q54" i="3" s="1"/>
  <c r="I63" i="3"/>
  <c r="L63" i="3"/>
  <c r="L68" i="3"/>
  <c r="I68" i="3"/>
  <c r="L72" i="3"/>
  <c r="I72" i="3"/>
  <c r="K31" i="3"/>
  <c r="O31" i="3" s="1"/>
  <c r="P31" i="3" s="1"/>
  <c r="Q31" i="3" s="1"/>
  <c r="K38" i="3"/>
  <c r="O38" i="3"/>
  <c r="P38" i="3" s="1"/>
  <c r="Q38" i="3" s="1"/>
  <c r="L39" i="3"/>
  <c r="I39" i="3"/>
  <c r="K46" i="3"/>
  <c r="O46" i="3" s="1"/>
  <c r="P46" i="3" s="1"/>
  <c r="Q46" i="3" s="1"/>
  <c r="L47" i="3"/>
  <c r="I47" i="3"/>
  <c r="N52" i="3"/>
  <c r="L61" i="3"/>
  <c r="I61" i="3"/>
  <c r="L69" i="3"/>
  <c r="I69" i="3"/>
  <c r="N79" i="3"/>
  <c r="K79" i="3"/>
  <c r="O79" i="3" s="1"/>
  <c r="P79" i="3" s="1"/>
  <c r="Q79" i="3" s="1"/>
  <c r="O80" i="3"/>
  <c r="P80" i="3" s="1"/>
  <c r="Q80" i="3" s="1"/>
  <c r="N80" i="3"/>
  <c r="N65" i="3"/>
  <c r="P65" i="3" s="1"/>
  <c r="Q65" i="3" s="1"/>
  <c r="N73" i="3"/>
  <c r="I93" i="3"/>
  <c r="L93" i="3"/>
  <c r="K65" i="3"/>
  <c r="O65" i="3" s="1"/>
  <c r="K73" i="3"/>
  <c r="O73" i="3" s="1"/>
  <c r="P73" i="3" s="1"/>
  <c r="Q73" i="3" s="1"/>
  <c r="N76" i="3"/>
  <c r="K76" i="3"/>
  <c r="O76" i="3" s="1"/>
  <c r="O70" i="3"/>
  <c r="N70" i="3"/>
  <c r="P70" i="3" s="1"/>
  <c r="Q70" i="3" s="1"/>
  <c r="I91" i="3"/>
  <c r="L91" i="3"/>
  <c r="N66" i="3"/>
  <c r="K66" i="3"/>
  <c r="O66" i="3" s="1"/>
  <c r="P66" i="3" s="1"/>
  <c r="Q66" i="3" s="1"/>
  <c r="L67" i="3"/>
  <c r="K70" i="3"/>
  <c r="I71" i="3"/>
  <c r="N74" i="3"/>
  <c r="K74" i="3"/>
  <c r="O74" i="3" s="1"/>
  <c r="N82" i="3"/>
  <c r="O82" i="3"/>
  <c r="P82" i="3" s="1"/>
  <c r="Q82" i="3" s="1"/>
  <c r="I87" i="3"/>
  <c r="L87" i="3"/>
  <c r="O78" i="3"/>
  <c r="N78" i="3"/>
  <c r="P78" i="3" s="1"/>
  <c r="Q78" i="3" s="1"/>
  <c r="I95" i="3"/>
  <c r="L95" i="3"/>
  <c r="O81" i="3"/>
  <c r="N81" i="3"/>
  <c r="P81" i="3" s="1"/>
  <c r="Q81" i="3" s="1"/>
  <c r="I97" i="3"/>
  <c r="L97" i="3"/>
  <c r="K81" i="3"/>
  <c r="I83" i="3"/>
  <c r="L83" i="3"/>
  <c r="I99" i="3"/>
  <c r="L99" i="3"/>
  <c r="I84" i="3"/>
  <c r="I86" i="3"/>
  <c r="I88" i="3"/>
  <c r="I90" i="3"/>
  <c r="I92" i="3"/>
  <c r="I94" i="3"/>
  <c r="I96" i="3"/>
  <c r="I98" i="3"/>
  <c r="R56" i="2" l="1"/>
  <c r="U56" i="2" s="1"/>
  <c r="R26" i="1"/>
  <c r="S26" i="1" s="1"/>
  <c r="U26" i="1"/>
  <c r="U52" i="2"/>
  <c r="S52" i="2"/>
  <c r="R52" i="2"/>
  <c r="S66" i="3"/>
  <c r="R66" i="3"/>
  <c r="U66" i="3" s="1"/>
  <c r="R80" i="2"/>
  <c r="S80" i="2" s="1"/>
  <c r="U80" i="2"/>
  <c r="U99" i="1"/>
  <c r="S99" i="1"/>
  <c r="R99" i="1"/>
  <c r="R97" i="1"/>
  <c r="U97" i="1" s="1"/>
  <c r="P87" i="1"/>
  <c r="Q87" i="1" s="1"/>
  <c r="U27" i="2"/>
  <c r="S27" i="2"/>
  <c r="R27" i="2"/>
  <c r="P18" i="2"/>
  <c r="Q18" i="2" s="1"/>
  <c r="R81" i="3"/>
  <c r="U81" i="3" s="1"/>
  <c r="R82" i="3"/>
  <c r="S82" i="3"/>
  <c r="U82" i="3"/>
  <c r="S46" i="3"/>
  <c r="R46" i="3"/>
  <c r="U46" i="3" s="1"/>
  <c r="P58" i="3"/>
  <c r="Q58" i="3" s="1"/>
  <c r="R24" i="3"/>
  <c r="S24" i="3" s="1"/>
  <c r="U24" i="3"/>
  <c r="P15" i="3"/>
  <c r="Q15" i="3" s="1"/>
  <c r="R59" i="2"/>
  <c r="S59" i="2" s="1"/>
  <c r="P34" i="3"/>
  <c r="Q34" i="3" s="1"/>
  <c r="P65" i="2"/>
  <c r="Q65" i="2" s="1"/>
  <c r="R75" i="1"/>
  <c r="S75" i="1" s="1"/>
  <c r="U75" i="1"/>
  <c r="R42" i="1"/>
  <c r="S42" i="1" s="1"/>
  <c r="R31" i="3"/>
  <c r="S31" i="3" s="1"/>
  <c r="U53" i="2"/>
  <c r="S53" i="2"/>
  <c r="R53" i="2"/>
  <c r="R44" i="3"/>
  <c r="U44" i="3" s="1"/>
  <c r="R73" i="3"/>
  <c r="U73" i="3"/>
  <c r="S73" i="3"/>
  <c r="S76" i="2"/>
  <c r="R76" i="2"/>
  <c r="U76" i="2"/>
  <c r="R33" i="1"/>
  <c r="S33" i="1"/>
  <c r="U33" i="1"/>
  <c r="R78" i="1"/>
  <c r="U78" i="1" s="1"/>
  <c r="S78" i="1"/>
  <c r="S60" i="3"/>
  <c r="R60" i="3"/>
  <c r="U60" i="3" s="1"/>
  <c r="R77" i="2"/>
  <c r="U77" i="2" s="1"/>
  <c r="R55" i="2"/>
  <c r="U55" i="2" s="1"/>
  <c r="U96" i="1"/>
  <c r="R96" i="1"/>
  <c r="S96" i="1"/>
  <c r="R84" i="1"/>
  <c r="U84" i="1" s="1"/>
  <c r="S84" i="1"/>
  <c r="S76" i="1"/>
  <c r="R76" i="1"/>
  <c r="U76" i="1"/>
  <c r="R12" i="2"/>
  <c r="U12" i="2" s="1"/>
  <c r="R72" i="2"/>
  <c r="U72" i="2" s="1"/>
  <c r="R68" i="1"/>
  <c r="U68" i="1" s="1"/>
  <c r="R68" i="2"/>
  <c r="U68" i="2"/>
  <c r="S68" i="2"/>
  <c r="P20" i="2"/>
  <c r="Q20" i="2" s="1"/>
  <c r="U79" i="3"/>
  <c r="R79" i="3"/>
  <c r="S79" i="3" s="1"/>
  <c r="R50" i="3"/>
  <c r="U50" i="3" s="1"/>
  <c r="R12" i="3"/>
  <c r="S12" i="3" s="1"/>
  <c r="U12" i="3"/>
  <c r="R84" i="2"/>
  <c r="S84" i="2" s="1"/>
  <c r="R26" i="3"/>
  <c r="S26" i="3" s="1"/>
  <c r="S18" i="3"/>
  <c r="U18" i="3"/>
  <c r="R18" i="3"/>
  <c r="U92" i="1"/>
  <c r="R92" i="1"/>
  <c r="S92" i="1"/>
  <c r="R81" i="1"/>
  <c r="S81" i="1" s="1"/>
  <c r="U80" i="1"/>
  <c r="R80" i="1"/>
  <c r="S80" i="1"/>
  <c r="R49" i="1"/>
  <c r="S49" i="1"/>
  <c r="U49" i="1"/>
  <c r="R37" i="1"/>
  <c r="U37" i="1"/>
  <c r="S37" i="1"/>
  <c r="S22" i="2"/>
  <c r="R22" i="2"/>
  <c r="U22" i="2" s="1"/>
  <c r="R88" i="1"/>
  <c r="U88" i="1" s="1"/>
  <c r="S88" i="1"/>
  <c r="R34" i="1"/>
  <c r="U34" i="1" s="1"/>
  <c r="S50" i="1"/>
  <c r="R50" i="1"/>
  <c r="U50" i="1"/>
  <c r="R72" i="1"/>
  <c r="S72" i="1" s="1"/>
  <c r="U72" i="1"/>
  <c r="R80" i="3"/>
  <c r="S80" i="3" s="1"/>
  <c r="R25" i="1"/>
  <c r="U25" i="1"/>
  <c r="S25" i="1"/>
  <c r="R77" i="3"/>
  <c r="S77" i="3" s="1"/>
  <c r="P74" i="3"/>
  <c r="Q74" i="3" s="1"/>
  <c r="R70" i="3"/>
  <c r="S70" i="3" s="1"/>
  <c r="R38" i="3"/>
  <c r="S38" i="3" s="1"/>
  <c r="S19" i="3"/>
  <c r="R19" i="3"/>
  <c r="U19" i="3" s="1"/>
  <c r="R47" i="2"/>
  <c r="S47" i="2" s="1"/>
  <c r="U47" i="2"/>
  <c r="R98" i="1"/>
  <c r="U98" i="1" s="1"/>
  <c r="R60" i="1"/>
  <c r="U60" i="1" s="1"/>
  <c r="R14" i="2"/>
  <c r="U14" i="2" s="1"/>
  <c r="R74" i="1"/>
  <c r="S74" i="1" s="1"/>
  <c r="U74" i="1"/>
  <c r="R45" i="1"/>
  <c r="S45" i="1" s="1"/>
  <c r="U45" i="1"/>
  <c r="R83" i="1"/>
  <c r="S83" i="1" s="1"/>
  <c r="S38" i="1"/>
  <c r="R38" i="1"/>
  <c r="U38" i="1"/>
  <c r="R30" i="1"/>
  <c r="S30" i="1" s="1"/>
  <c r="U30" i="1"/>
  <c r="R29" i="1"/>
  <c r="S29" i="1"/>
  <c r="U29" i="1"/>
  <c r="S13" i="3"/>
  <c r="U13" i="3"/>
  <c r="R13" i="3"/>
  <c r="R78" i="3"/>
  <c r="U78" i="3"/>
  <c r="S78" i="3"/>
  <c r="R65" i="3"/>
  <c r="S65" i="3" s="1"/>
  <c r="U65" i="3"/>
  <c r="R54" i="3"/>
  <c r="U54" i="3" s="1"/>
  <c r="P56" i="3"/>
  <c r="Q56" i="3" s="1"/>
  <c r="R48" i="3"/>
  <c r="S48" i="3" s="1"/>
  <c r="S22" i="3"/>
  <c r="U22" i="3"/>
  <c r="R22" i="3"/>
  <c r="R62" i="3"/>
  <c r="S62" i="3" s="1"/>
  <c r="U60" i="2"/>
  <c r="S60" i="2"/>
  <c r="R60" i="2"/>
  <c r="P89" i="1"/>
  <c r="Q89" i="1" s="1"/>
  <c r="R56" i="1"/>
  <c r="U56" i="1" s="1"/>
  <c r="S56" i="1"/>
  <c r="R85" i="1"/>
  <c r="S85" i="1" s="1"/>
  <c r="R53" i="1"/>
  <c r="U53" i="1" s="1"/>
  <c r="R24" i="1"/>
  <c r="U24" i="1" s="1"/>
  <c r="S24" i="1"/>
  <c r="R46" i="1"/>
  <c r="U46" i="1" s="1"/>
  <c r="N96" i="3"/>
  <c r="K96" i="3"/>
  <c r="O96" i="3" s="1"/>
  <c r="R27" i="3"/>
  <c r="U27" i="3" s="1"/>
  <c r="K55" i="3"/>
  <c r="O55" i="3"/>
  <c r="P55" i="3" s="1"/>
  <c r="Q55" i="3" s="1"/>
  <c r="N55" i="3"/>
  <c r="K23" i="3"/>
  <c r="O23" i="3"/>
  <c r="N23" i="3"/>
  <c r="P23" i="3" s="1"/>
  <c r="Q23" i="3" s="1"/>
  <c r="P71" i="2"/>
  <c r="Q71" i="2" s="1"/>
  <c r="P29" i="2"/>
  <c r="Q29" i="2" s="1"/>
  <c r="N57" i="1"/>
  <c r="K57" i="1"/>
  <c r="O57" i="1" s="1"/>
  <c r="N9" i="2"/>
  <c r="P9" i="2" s="1"/>
  <c r="Q9" i="2" s="1"/>
  <c r="K9" i="2"/>
  <c r="O9" i="2"/>
  <c r="P21" i="1"/>
  <c r="Q21" i="1" s="1"/>
  <c r="O18" i="1"/>
  <c r="N18" i="1"/>
  <c r="K18" i="1"/>
  <c r="N95" i="3"/>
  <c r="K95" i="3"/>
  <c r="O95" i="3"/>
  <c r="P95" i="3" s="1"/>
  <c r="Q95" i="3" s="1"/>
  <c r="R16" i="3"/>
  <c r="S16" i="3" s="1"/>
  <c r="U16" i="3"/>
  <c r="K28" i="3"/>
  <c r="N28" i="3"/>
  <c r="O28" i="3"/>
  <c r="K25" i="3"/>
  <c r="N25" i="3"/>
  <c r="O25" i="3"/>
  <c r="P25" i="3" s="1"/>
  <c r="Q25" i="3" s="1"/>
  <c r="N67" i="2"/>
  <c r="O67" i="2"/>
  <c r="K67" i="2"/>
  <c r="N57" i="2"/>
  <c r="K57" i="2"/>
  <c r="O57" i="2" s="1"/>
  <c r="U64" i="2"/>
  <c r="S64" i="2"/>
  <c r="R64" i="2"/>
  <c r="P95" i="1"/>
  <c r="Q95" i="1" s="1"/>
  <c r="I100" i="1"/>
  <c r="N7" i="1"/>
  <c r="K7" i="1"/>
  <c r="O7" i="1" s="1"/>
  <c r="U93" i="1"/>
  <c r="S93" i="1"/>
  <c r="R93" i="1"/>
  <c r="N11" i="1"/>
  <c r="K11" i="1"/>
  <c r="O11" i="1" s="1"/>
  <c r="N33" i="2"/>
  <c r="K33" i="2"/>
  <c r="O33" i="2" s="1"/>
  <c r="P19" i="1"/>
  <c r="Q19" i="1" s="1"/>
  <c r="N17" i="1"/>
  <c r="K17" i="1"/>
  <c r="O17" i="1" s="1"/>
  <c r="N52" i="1"/>
  <c r="O52" i="1"/>
  <c r="K52" i="1"/>
  <c r="N92" i="3"/>
  <c r="K92" i="3"/>
  <c r="O92" i="3" s="1"/>
  <c r="N91" i="3"/>
  <c r="P91" i="3" s="1"/>
  <c r="Q91" i="3" s="1"/>
  <c r="K91" i="3"/>
  <c r="O91" i="3"/>
  <c r="N69" i="3"/>
  <c r="K69" i="3"/>
  <c r="O69" i="3" s="1"/>
  <c r="P69" i="3" s="1"/>
  <c r="Q69" i="3" s="1"/>
  <c r="N83" i="2"/>
  <c r="K83" i="2"/>
  <c r="O83" i="2" s="1"/>
  <c r="K14" i="3"/>
  <c r="O14" i="3" s="1"/>
  <c r="N14" i="3"/>
  <c r="P14" i="3" s="1"/>
  <c r="Q14" i="3" s="1"/>
  <c r="N70" i="2"/>
  <c r="K70" i="2"/>
  <c r="O70" i="2" s="1"/>
  <c r="P28" i="3"/>
  <c r="Q28" i="3" s="1"/>
  <c r="K51" i="3"/>
  <c r="O51" i="3"/>
  <c r="N51" i="3"/>
  <c r="P51" i="3" s="1"/>
  <c r="Q51" i="3" s="1"/>
  <c r="P28" i="2"/>
  <c r="Q28" i="2" s="1"/>
  <c r="N65" i="1"/>
  <c r="K65" i="1"/>
  <c r="O65" i="1" s="1"/>
  <c r="N44" i="2"/>
  <c r="K44" i="2"/>
  <c r="O44" i="2"/>
  <c r="P44" i="2" s="1"/>
  <c r="Q44" i="2" s="1"/>
  <c r="N39" i="2"/>
  <c r="P39" i="2" s="1"/>
  <c r="Q39" i="2" s="1"/>
  <c r="K39" i="2"/>
  <c r="O39" i="2"/>
  <c r="O73" i="1"/>
  <c r="N73" i="1"/>
  <c r="K73" i="1"/>
  <c r="K82" i="1"/>
  <c r="O82" i="1"/>
  <c r="N82" i="1"/>
  <c r="P82" i="1" s="1"/>
  <c r="Q82" i="1" s="1"/>
  <c r="P54" i="1"/>
  <c r="Q54" i="1" s="1"/>
  <c r="N39" i="1"/>
  <c r="K39" i="1"/>
  <c r="O39" i="1" s="1"/>
  <c r="K77" i="1"/>
  <c r="O77" i="1" s="1"/>
  <c r="P77" i="1" s="1"/>
  <c r="Q77" i="1" s="1"/>
  <c r="N77" i="1"/>
  <c r="P91" i="1"/>
  <c r="Q91" i="1" s="1"/>
  <c r="P16" i="1"/>
  <c r="Q16" i="1" s="1"/>
  <c r="O13" i="1"/>
  <c r="N13" i="1"/>
  <c r="K13" i="1"/>
  <c r="N48" i="1"/>
  <c r="K48" i="1"/>
  <c r="O48" i="1" s="1"/>
  <c r="N99" i="3"/>
  <c r="P99" i="3" s="1"/>
  <c r="Q99" i="3" s="1"/>
  <c r="K99" i="3"/>
  <c r="O99" i="3"/>
  <c r="K33" i="3"/>
  <c r="O33" i="3" s="1"/>
  <c r="P33" i="3" s="1"/>
  <c r="Q33" i="3" s="1"/>
  <c r="N33" i="3"/>
  <c r="L100" i="3"/>
  <c r="K94" i="1"/>
  <c r="O94" i="1" s="1"/>
  <c r="N94" i="1"/>
  <c r="N26" i="2"/>
  <c r="P26" i="2" s="1"/>
  <c r="Q26" i="2" s="1"/>
  <c r="K26" i="2"/>
  <c r="O26" i="2"/>
  <c r="P11" i="2"/>
  <c r="Q11" i="2" s="1"/>
  <c r="R41" i="1"/>
  <c r="U41" i="1" s="1"/>
  <c r="S41" i="1"/>
  <c r="N94" i="3"/>
  <c r="K94" i="3"/>
  <c r="O94" i="3" s="1"/>
  <c r="N71" i="3"/>
  <c r="K71" i="3"/>
  <c r="O71" i="3" s="1"/>
  <c r="K45" i="3"/>
  <c r="O45" i="3" s="1"/>
  <c r="N45" i="3"/>
  <c r="N64" i="3"/>
  <c r="K64" i="3"/>
  <c r="O64" i="3" s="1"/>
  <c r="R8" i="3"/>
  <c r="S8" i="3" s="1"/>
  <c r="U8" i="3"/>
  <c r="R90" i="1"/>
  <c r="U90" i="1" s="1"/>
  <c r="N43" i="2"/>
  <c r="K43" i="2"/>
  <c r="O43" i="2"/>
  <c r="P43" i="2" s="1"/>
  <c r="Q43" i="2" s="1"/>
  <c r="R55" i="1"/>
  <c r="S55" i="1" s="1"/>
  <c r="R48" i="2"/>
  <c r="U48" i="2" s="1"/>
  <c r="R58" i="1"/>
  <c r="U58" i="1" s="1"/>
  <c r="S58" i="1"/>
  <c r="N90" i="3"/>
  <c r="K90" i="3"/>
  <c r="O90" i="3" s="1"/>
  <c r="N97" i="3"/>
  <c r="K97" i="3"/>
  <c r="O97" i="3"/>
  <c r="P97" i="3" s="1"/>
  <c r="Q97" i="3" s="1"/>
  <c r="P67" i="3"/>
  <c r="Q67" i="3" s="1"/>
  <c r="N93" i="3"/>
  <c r="P93" i="3" s="1"/>
  <c r="Q93" i="3" s="1"/>
  <c r="K93" i="3"/>
  <c r="O93" i="3"/>
  <c r="K47" i="3"/>
  <c r="O47" i="3"/>
  <c r="N47" i="3"/>
  <c r="P47" i="3" s="1"/>
  <c r="Q47" i="3" s="1"/>
  <c r="K35" i="3"/>
  <c r="O35" i="3"/>
  <c r="N35" i="3"/>
  <c r="R40" i="3"/>
  <c r="U40" i="3" s="1"/>
  <c r="O85" i="2"/>
  <c r="P85" i="2" s="1"/>
  <c r="Q85" i="2" s="1"/>
  <c r="K85" i="2"/>
  <c r="N85" i="2"/>
  <c r="R9" i="3"/>
  <c r="U9" i="3" s="1"/>
  <c r="K59" i="3"/>
  <c r="O59" i="3" s="1"/>
  <c r="P59" i="3" s="1"/>
  <c r="Q59" i="3" s="1"/>
  <c r="N59" i="3"/>
  <c r="N73" i="2"/>
  <c r="P73" i="2" s="1"/>
  <c r="Q73" i="2" s="1"/>
  <c r="K73" i="2"/>
  <c r="O73" i="2" s="1"/>
  <c r="N66" i="2"/>
  <c r="P66" i="2" s="1"/>
  <c r="Q66" i="2" s="1"/>
  <c r="K66" i="2"/>
  <c r="O66" i="2"/>
  <c r="N46" i="2"/>
  <c r="O46" i="2"/>
  <c r="P46" i="2" s="1"/>
  <c r="Q46" i="2" s="1"/>
  <c r="K46" i="2"/>
  <c r="N58" i="2"/>
  <c r="K58" i="2"/>
  <c r="O58" i="2" s="1"/>
  <c r="P58" i="2" s="1"/>
  <c r="Q58" i="2" s="1"/>
  <c r="U63" i="1"/>
  <c r="R63" i="1"/>
  <c r="S63" i="1"/>
  <c r="N36" i="2"/>
  <c r="P36" i="2" s="1"/>
  <c r="Q36" i="2" s="1"/>
  <c r="K36" i="2"/>
  <c r="O36" i="2"/>
  <c r="P10" i="1"/>
  <c r="Q10" i="1" s="1"/>
  <c r="N9" i="1"/>
  <c r="K9" i="1"/>
  <c r="O9" i="1" s="1"/>
  <c r="N19" i="2"/>
  <c r="P19" i="2" s="1"/>
  <c r="Q19" i="2" s="1"/>
  <c r="K19" i="2"/>
  <c r="O19" i="2"/>
  <c r="N44" i="1"/>
  <c r="K44" i="1"/>
  <c r="O44" i="1" s="1"/>
  <c r="K30" i="3"/>
  <c r="N30" i="3"/>
  <c r="P30" i="3" s="1"/>
  <c r="Q30" i="3" s="1"/>
  <c r="O30" i="3"/>
  <c r="P67" i="2"/>
  <c r="Q67" i="2" s="1"/>
  <c r="N29" i="2"/>
  <c r="K29" i="2"/>
  <c r="O29" i="2"/>
  <c r="R62" i="1"/>
  <c r="U62" i="1" s="1"/>
  <c r="S62" i="1"/>
  <c r="N43" i="1"/>
  <c r="P43" i="1" s="1"/>
  <c r="Q43" i="1" s="1"/>
  <c r="K43" i="1"/>
  <c r="O43" i="1"/>
  <c r="N14" i="1"/>
  <c r="K14" i="1"/>
  <c r="O14" i="1" s="1"/>
  <c r="N68" i="3"/>
  <c r="K68" i="3"/>
  <c r="O68" i="3" s="1"/>
  <c r="N83" i="3"/>
  <c r="P83" i="3" s="1"/>
  <c r="Q83" i="3" s="1"/>
  <c r="K83" i="3"/>
  <c r="O83" i="3"/>
  <c r="R82" i="2"/>
  <c r="S82" i="2" s="1"/>
  <c r="S63" i="2"/>
  <c r="R63" i="2"/>
  <c r="U63" i="2"/>
  <c r="N45" i="2"/>
  <c r="K45" i="2"/>
  <c r="O45" i="2" s="1"/>
  <c r="P45" i="2" s="1"/>
  <c r="Q45" i="2" s="1"/>
  <c r="P12" i="1"/>
  <c r="Q12" i="1" s="1"/>
  <c r="N40" i="1"/>
  <c r="K40" i="1"/>
  <c r="O40" i="1" s="1"/>
  <c r="N86" i="3"/>
  <c r="K86" i="3"/>
  <c r="O86" i="3" s="1"/>
  <c r="N87" i="3"/>
  <c r="K87" i="3"/>
  <c r="O87" i="3" s="1"/>
  <c r="P87" i="3" s="1"/>
  <c r="Q87" i="3" s="1"/>
  <c r="N85" i="3"/>
  <c r="K85" i="3"/>
  <c r="O85" i="3"/>
  <c r="P85" i="3" s="1"/>
  <c r="Q85" i="3" s="1"/>
  <c r="K53" i="3"/>
  <c r="O53" i="3" s="1"/>
  <c r="P53" i="3" s="1"/>
  <c r="Q53" i="3" s="1"/>
  <c r="N53" i="3"/>
  <c r="N89" i="3"/>
  <c r="K89" i="3"/>
  <c r="O89" i="3"/>
  <c r="K10" i="3"/>
  <c r="N10" i="3"/>
  <c r="P10" i="3" s="1"/>
  <c r="Q10" i="3" s="1"/>
  <c r="O10" i="3"/>
  <c r="K17" i="3"/>
  <c r="N17" i="3"/>
  <c r="P17" i="3" s="1"/>
  <c r="Q17" i="3" s="1"/>
  <c r="O17" i="3"/>
  <c r="P78" i="2"/>
  <c r="Q78" i="2" s="1"/>
  <c r="P8" i="2"/>
  <c r="Q8" i="2" s="1"/>
  <c r="K86" i="1"/>
  <c r="O86" i="1" s="1"/>
  <c r="N86" i="1"/>
  <c r="N38" i="2"/>
  <c r="P38" i="2" s="1"/>
  <c r="Q38" i="2" s="1"/>
  <c r="K38" i="2"/>
  <c r="O38" i="2"/>
  <c r="N61" i="1"/>
  <c r="K61" i="1"/>
  <c r="O61" i="1" s="1"/>
  <c r="N61" i="2"/>
  <c r="K61" i="2"/>
  <c r="O61" i="2" s="1"/>
  <c r="P61" i="2" s="1"/>
  <c r="Q61" i="2" s="1"/>
  <c r="N71" i="1"/>
  <c r="P71" i="1" s="1"/>
  <c r="Q71" i="1" s="1"/>
  <c r="O71" i="1"/>
  <c r="K71" i="1"/>
  <c r="N23" i="2"/>
  <c r="P23" i="2" s="1"/>
  <c r="Q23" i="2" s="1"/>
  <c r="K23" i="2"/>
  <c r="O23" i="2"/>
  <c r="N36" i="1"/>
  <c r="O36" i="1"/>
  <c r="K36" i="1"/>
  <c r="R52" i="3"/>
  <c r="S52" i="3" s="1"/>
  <c r="U67" i="1"/>
  <c r="R67" i="1"/>
  <c r="S67" i="1"/>
  <c r="N21" i="2"/>
  <c r="K21" i="2"/>
  <c r="O21" i="2"/>
  <c r="P21" i="2" s="1"/>
  <c r="Q21" i="2" s="1"/>
  <c r="N27" i="1"/>
  <c r="K27" i="1"/>
  <c r="O27" i="1"/>
  <c r="K21" i="3"/>
  <c r="O21" i="3" s="1"/>
  <c r="N21" i="3"/>
  <c r="K43" i="3"/>
  <c r="O43" i="3"/>
  <c r="N43" i="3"/>
  <c r="P43" i="3" s="1"/>
  <c r="Q43" i="3" s="1"/>
  <c r="N88" i="3"/>
  <c r="K88" i="3"/>
  <c r="O88" i="3" s="1"/>
  <c r="N63" i="3"/>
  <c r="K63" i="3"/>
  <c r="O63" i="3" s="1"/>
  <c r="P63" i="3" s="1"/>
  <c r="Q63" i="3" s="1"/>
  <c r="P89" i="3"/>
  <c r="Q89" i="3" s="1"/>
  <c r="P11" i="3"/>
  <c r="Q11" i="3" s="1"/>
  <c r="K41" i="3"/>
  <c r="O41" i="3"/>
  <c r="N41" i="3"/>
  <c r="P41" i="3" s="1"/>
  <c r="Q41" i="3" s="1"/>
  <c r="P35" i="3"/>
  <c r="Q35" i="3" s="1"/>
  <c r="R74" i="2"/>
  <c r="S74" i="2" s="1"/>
  <c r="U74" i="2"/>
  <c r="N31" i="2"/>
  <c r="K31" i="2"/>
  <c r="O31" i="2" s="1"/>
  <c r="P31" i="2" s="1"/>
  <c r="Q31" i="2" s="1"/>
  <c r="N40" i="2"/>
  <c r="P40" i="2" s="1"/>
  <c r="Q40" i="2" s="1"/>
  <c r="K40" i="2"/>
  <c r="O40" i="2"/>
  <c r="R64" i="1"/>
  <c r="S64" i="1" s="1"/>
  <c r="K32" i="3"/>
  <c r="O32" i="3"/>
  <c r="N32" i="3"/>
  <c r="P32" i="3" s="1"/>
  <c r="Q32" i="3" s="1"/>
  <c r="U75" i="2"/>
  <c r="S75" i="2"/>
  <c r="R75" i="2"/>
  <c r="P25" i="2"/>
  <c r="Q25" i="2" s="1"/>
  <c r="N37" i="2"/>
  <c r="K37" i="2"/>
  <c r="O37" i="2"/>
  <c r="P37" i="2" s="1"/>
  <c r="Q37" i="2" s="1"/>
  <c r="L87" i="2"/>
  <c r="N15" i="2"/>
  <c r="K15" i="2"/>
  <c r="O15" i="2"/>
  <c r="P7" i="2"/>
  <c r="P59" i="1"/>
  <c r="Q59" i="1" s="1"/>
  <c r="N32" i="2"/>
  <c r="K32" i="2"/>
  <c r="O32" i="2"/>
  <c r="N47" i="1"/>
  <c r="O47" i="1"/>
  <c r="K47" i="1"/>
  <c r="N31" i="1"/>
  <c r="K31" i="1"/>
  <c r="O31" i="1" s="1"/>
  <c r="P23" i="1"/>
  <c r="Q23" i="1" s="1"/>
  <c r="N62" i="2"/>
  <c r="P62" i="2" s="1"/>
  <c r="Q62" i="2" s="1"/>
  <c r="O62" i="2"/>
  <c r="K62" i="2"/>
  <c r="N42" i="2"/>
  <c r="K42" i="2"/>
  <c r="O42" i="2"/>
  <c r="N32" i="1"/>
  <c r="K32" i="1"/>
  <c r="O32" i="1" s="1"/>
  <c r="R51" i="2"/>
  <c r="S51" i="2" s="1"/>
  <c r="U51" i="2"/>
  <c r="N49" i="2"/>
  <c r="K49" i="2"/>
  <c r="O49" i="2" s="1"/>
  <c r="O15" i="1"/>
  <c r="N15" i="1"/>
  <c r="P15" i="1" s="1"/>
  <c r="Q15" i="1" s="1"/>
  <c r="K15" i="1"/>
  <c r="N34" i="2"/>
  <c r="K34" i="2"/>
  <c r="O34" i="2"/>
  <c r="P34" i="2" s="1"/>
  <c r="Q34" i="2" s="1"/>
  <c r="K37" i="3"/>
  <c r="O37" i="3" s="1"/>
  <c r="N37" i="3"/>
  <c r="P37" i="3" s="1"/>
  <c r="Q37" i="3" s="1"/>
  <c r="K57" i="3"/>
  <c r="O57" i="3"/>
  <c r="N57" i="3"/>
  <c r="P57" i="3" s="1"/>
  <c r="Q57" i="3" s="1"/>
  <c r="P76" i="3"/>
  <c r="Q76" i="3" s="1"/>
  <c r="K29" i="3"/>
  <c r="O29" i="3" s="1"/>
  <c r="P29" i="3" s="1"/>
  <c r="Q29" i="3" s="1"/>
  <c r="N29" i="3"/>
  <c r="R79" i="2"/>
  <c r="U79" i="2" s="1"/>
  <c r="K49" i="3"/>
  <c r="O49" i="3"/>
  <c r="N49" i="3"/>
  <c r="P49" i="3" s="1"/>
  <c r="Q49" i="3" s="1"/>
  <c r="O86" i="2"/>
  <c r="N86" i="2"/>
  <c r="P86" i="2" s="1"/>
  <c r="Q86" i="2" s="1"/>
  <c r="K86" i="2"/>
  <c r="K36" i="3"/>
  <c r="O36" i="3"/>
  <c r="N36" i="3"/>
  <c r="P36" i="3" s="1"/>
  <c r="Q36" i="3" s="1"/>
  <c r="N13" i="2"/>
  <c r="P13" i="2" s="1"/>
  <c r="Q13" i="2" s="1"/>
  <c r="K13" i="2"/>
  <c r="O13" i="2"/>
  <c r="R16" i="2"/>
  <c r="U16" i="2" s="1"/>
  <c r="N51" i="1"/>
  <c r="K51" i="1"/>
  <c r="O51" i="1" s="1"/>
  <c r="N35" i="1"/>
  <c r="K35" i="1"/>
  <c r="O35" i="1" s="1"/>
  <c r="N70" i="1"/>
  <c r="P70" i="1" s="1"/>
  <c r="Q70" i="1" s="1"/>
  <c r="K70" i="1"/>
  <c r="O70" i="1" s="1"/>
  <c r="N35" i="2"/>
  <c r="P35" i="2" s="1"/>
  <c r="Q35" i="2" s="1"/>
  <c r="K35" i="2"/>
  <c r="O35" i="2" s="1"/>
  <c r="N8" i="1"/>
  <c r="K8" i="1"/>
  <c r="O8" i="1" s="1"/>
  <c r="N84" i="3"/>
  <c r="K84" i="3"/>
  <c r="O84" i="3" s="1"/>
  <c r="N98" i="3"/>
  <c r="K98" i="3"/>
  <c r="O98" i="3" s="1"/>
  <c r="N61" i="3"/>
  <c r="P61" i="3" s="1"/>
  <c r="Q61" i="3" s="1"/>
  <c r="K61" i="3"/>
  <c r="O61" i="3"/>
  <c r="K39" i="3"/>
  <c r="O39" i="3"/>
  <c r="N39" i="3"/>
  <c r="P39" i="3" s="1"/>
  <c r="Q39" i="3" s="1"/>
  <c r="N72" i="3"/>
  <c r="K72" i="3"/>
  <c r="O72" i="3" s="1"/>
  <c r="P72" i="3" s="1"/>
  <c r="Q72" i="3" s="1"/>
  <c r="N75" i="3"/>
  <c r="P75" i="3" s="1"/>
  <c r="Q75" i="3" s="1"/>
  <c r="K75" i="3"/>
  <c r="O75" i="3" s="1"/>
  <c r="K7" i="3"/>
  <c r="O7" i="3" s="1"/>
  <c r="N7" i="3"/>
  <c r="I100" i="3"/>
  <c r="K42" i="3"/>
  <c r="O42" i="3"/>
  <c r="N42" i="3"/>
  <c r="P42" i="3" s="1"/>
  <c r="Q42" i="3" s="1"/>
  <c r="K20" i="3"/>
  <c r="O20" i="3" s="1"/>
  <c r="P20" i="3" s="1"/>
  <c r="Q20" i="3" s="1"/>
  <c r="N20" i="3"/>
  <c r="P69" i="2"/>
  <c r="Q69" i="2" s="1"/>
  <c r="N24" i="2"/>
  <c r="K24" i="2"/>
  <c r="O24" i="2"/>
  <c r="N50" i="2"/>
  <c r="P50" i="2" s="1"/>
  <c r="Q50" i="2" s="1"/>
  <c r="O50" i="2"/>
  <c r="K50" i="2"/>
  <c r="N54" i="2"/>
  <c r="K54" i="2"/>
  <c r="O54" i="2" s="1"/>
  <c r="N79" i="1"/>
  <c r="K79" i="1"/>
  <c r="O79" i="1" s="1"/>
  <c r="N30" i="2"/>
  <c r="K30" i="2"/>
  <c r="O30" i="2" s="1"/>
  <c r="P30" i="2" s="1"/>
  <c r="Q30" i="2" s="1"/>
  <c r="P15" i="2"/>
  <c r="Q15" i="2" s="1"/>
  <c r="E87" i="2"/>
  <c r="N69" i="1"/>
  <c r="K69" i="1"/>
  <c r="O69" i="1"/>
  <c r="O81" i="2"/>
  <c r="K81" i="2"/>
  <c r="N81" i="2"/>
  <c r="P81" i="2" s="1"/>
  <c r="Q81" i="2" s="1"/>
  <c r="P32" i="2"/>
  <c r="Q32" i="2" s="1"/>
  <c r="N10" i="2"/>
  <c r="P10" i="2" s="1"/>
  <c r="Q10" i="2" s="1"/>
  <c r="K10" i="2"/>
  <c r="O10" i="2"/>
  <c r="P66" i="1"/>
  <c r="Q66" i="1" s="1"/>
  <c r="N41" i="2"/>
  <c r="P41" i="2" s="1"/>
  <c r="Q41" i="2" s="1"/>
  <c r="K41" i="2"/>
  <c r="O41" i="2"/>
  <c r="N17" i="2"/>
  <c r="P17" i="2" s="1"/>
  <c r="Q17" i="2" s="1"/>
  <c r="K17" i="2"/>
  <c r="O17" i="2"/>
  <c r="P22" i="1"/>
  <c r="Q22" i="1" s="1"/>
  <c r="O20" i="1"/>
  <c r="N20" i="1"/>
  <c r="P20" i="1" s="1"/>
  <c r="Q20" i="1" s="1"/>
  <c r="K20" i="1"/>
  <c r="P42" i="2"/>
  <c r="Q42" i="2" s="1"/>
  <c r="N28" i="1"/>
  <c r="K28" i="1"/>
  <c r="O28" i="1" s="1"/>
  <c r="R50" i="2" l="1"/>
  <c r="U50" i="2" s="1"/>
  <c r="U61" i="2"/>
  <c r="R61" i="2"/>
  <c r="S61" i="2" s="1"/>
  <c r="R73" i="2"/>
  <c r="U73" i="2" s="1"/>
  <c r="R91" i="3"/>
  <c r="U91" i="3" s="1"/>
  <c r="S91" i="3"/>
  <c r="V79" i="3"/>
  <c r="R37" i="3"/>
  <c r="U37" i="3" s="1"/>
  <c r="R87" i="3"/>
  <c r="U87" i="3" s="1"/>
  <c r="V74" i="1"/>
  <c r="R41" i="2"/>
  <c r="U41" i="2" s="1"/>
  <c r="U31" i="2"/>
  <c r="S31" i="2"/>
  <c r="R31" i="2"/>
  <c r="P68" i="3"/>
  <c r="Q68" i="3" s="1"/>
  <c r="U46" i="2"/>
  <c r="R46" i="2"/>
  <c r="S46" i="2"/>
  <c r="S59" i="3"/>
  <c r="R59" i="3"/>
  <c r="U59" i="3" s="1"/>
  <c r="R97" i="3"/>
  <c r="U97" i="3"/>
  <c r="S97" i="3"/>
  <c r="P64" i="3"/>
  <c r="Q64" i="3" s="1"/>
  <c r="U51" i="3"/>
  <c r="S51" i="3"/>
  <c r="R51" i="3"/>
  <c r="P33" i="2"/>
  <c r="Q33" i="2" s="1"/>
  <c r="S23" i="3"/>
  <c r="U23" i="3"/>
  <c r="R23" i="3"/>
  <c r="V72" i="1"/>
  <c r="S13" i="2"/>
  <c r="R13" i="2"/>
  <c r="U13" i="2" s="1"/>
  <c r="R83" i="3"/>
  <c r="U83" i="3"/>
  <c r="S83" i="3"/>
  <c r="R93" i="3"/>
  <c r="U93" i="3" s="1"/>
  <c r="V8" i="3"/>
  <c r="R14" i="3"/>
  <c r="S14" i="3" s="1"/>
  <c r="O100" i="1"/>
  <c r="R39" i="3"/>
  <c r="U39" i="3" s="1"/>
  <c r="R36" i="3"/>
  <c r="U36" i="3" s="1"/>
  <c r="U40" i="2"/>
  <c r="S40" i="2"/>
  <c r="R40" i="2"/>
  <c r="V30" i="1"/>
  <c r="U34" i="2"/>
  <c r="S34" i="2"/>
  <c r="R34" i="2"/>
  <c r="R32" i="3"/>
  <c r="U32" i="3" s="1"/>
  <c r="R36" i="2"/>
  <c r="U36" i="2" s="1"/>
  <c r="U47" i="3"/>
  <c r="S47" i="3"/>
  <c r="R47" i="3"/>
  <c r="S43" i="2"/>
  <c r="R43" i="2"/>
  <c r="U43" i="2" s="1"/>
  <c r="P45" i="3"/>
  <c r="Q45" i="3" s="1"/>
  <c r="U33" i="3"/>
  <c r="S33" i="3"/>
  <c r="R33" i="3"/>
  <c r="R39" i="2"/>
  <c r="U39" i="2" s="1"/>
  <c r="V16" i="3"/>
  <c r="V26" i="3"/>
  <c r="U30" i="2"/>
  <c r="R30" i="2"/>
  <c r="S30" i="2" s="1"/>
  <c r="U21" i="2"/>
  <c r="S21" i="2"/>
  <c r="R21" i="2"/>
  <c r="U37" i="2"/>
  <c r="S37" i="2"/>
  <c r="R37" i="2"/>
  <c r="R17" i="3"/>
  <c r="S17" i="3" s="1"/>
  <c r="R44" i="2"/>
  <c r="U44" i="2" s="1"/>
  <c r="R69" i="3"/>
  <c r="U69" i="3" s="1"/>
  <c r="U25" i="3"/>
  <c r="R25" i="3"/>
  <c r="S25" i="3" s="1"/>
  <c r="R95" i="3"/>
  <c r="U95" i="3"/>
  <c r="S95" i="3"/>
  <c r="V81" i="1"/>
  <c r="V31" i="3"/>
  <c r="P54" i="2"/>
  <c r="Q54" i="2" s="1"/>
  <c r="R86" i="2"/>
  <c r="U86" i="2" s="1"/>
  <c r="V74" i="2"/>
  <c r="U53" i="3"/>
  <c r="S53" i="3"/>
  <c r="R53" i="3"/>
  <c r="U19" i="2"/>
  <c r="S19" i="2"/>
  <c r="R19" i="2"/>
  <c r="U9" i="2"/>
  <c r="S9" i="2"/>
  <c r="R9" i="2"/>
  <c r="V24" i="3"/>
  <c r="U70" i="1"/>
  <c r="R70" i="1"/>
  <c r="S70" i="1" s="1"/>
  <c r="S43" i="3"/>
  <c r="R43" i="3"/>
  <c r="U43" i="3" s="1"/>
  <c r="R29" i="3"/>
  <c r="U29" i="3" s="1"/>
  <c r="U62" i="2"/>
  <c r="R62" i="2"/>
  <c r="S62" i="2"/>
  <c r="U23" i="2"/>
  <c r="S23" i="2"/>
  <c r="R23" i="2"/>
  <c r="U10" i="2"/>
  <c r="S10" i="2"/>
  <c r="R10" i="2"/>
  <c r="R20" i="3"/>
  <c r="S20" i="3" s="1"/>
  <c r="R75" i="3"/>
  <c r="S75" i="3" s="1"/>
  <c r="U75" i="3"/>
  <c r="R61" i="3"/>
  <c r="U61" i="3" s="1"/>
  <c r="S35" i="2"/>
  <c r="R35" i="2"/>
  <c r="U35" i="2" s="1"/>
  <c r="R57" i="3"/>
  <c r="U57" i="3" s="1"/>
  <c r="V52" i="3"/>
  <c r="R38" i="2"/>
  <c r="U38" i="2" s="1"/>
  <c r="R85" i="3"/>
  <c r="U85" i="3" s="1"/>
  <c r="R66" i="2"/>
  <c r="S66" i="2" s="1"/>
  <c r="R85" i="2"/>
  <c r="U85" i="2" s="1"/>
  <c r="U26" i="2"/>
  <c r="R26" i="2"/>
  <c r="S26" i="2" s="1"/>
  <c r="R99" i="3"/>
  <c r="U99" i="3" s="1"/>
  <c r="U55" i="3"/>
  <c r="S55" i="3"/>
  <c r="R55" i="3"/>
  <c r="V65" i="3"/>
  <c r="V47" i="2"/>
  <c r="V12" i="3"/>
  <c r="V26" i="1"/>
  <c r="U81" i="2"/>
  <c r="R81" i="2"/>
  <c r="S81" i="2" s="1"/>
  <c r="U45" i="2"/>
  <c r="S45" i="2"/>
  <c r="R45" i="2"/>
  <c r="O87" i="2"/>
  <c r="O100" i="3"/>
  <c r="P7" i="3"/>
  <c r="V51" i="2"/>
  <c r="R63" i="3"/>
  <c r="S63" i="3" s="1"/>
  <c r="U63" i="3"/>
  <c r="R17" i="2"/>
  <c r="U17" i="2" s="1"/>
  <c r="R42" i="3"/>
  <c r="U42" i="3" s="1"/>
  <c r="U72" i="3"/>
  <c r="R72" i="3"/>
  <c r="S72" i="3" s="1"/>
  <c r="S49" i="3"/>
  <c r="R49" i="3"/>
  <c r="U49" i="3" s="1"/>
  <c r="R41" i="3"/>
  <c r="S41" i="3" s="1"/>
  <c r="U71" i="1"/>
  <c r="R71" i="1"/>
  <c r="S71" i="1" s="1"/>
  <c r="S10" i="3"/>
  <c r="U10" i="3"/>
  <c r="R10" i="3"/>
  <c r="S30" i="3"/>
  <c r="U30" i="3"/>
  <c r="R30" i="3"/>
  <c r="R58" i="2"/>
  <c r="U58" i="2" s="1"/>
  <c r="R77" i="1"/>
  <c r="U77" i="1" s="1"/>
  <c r="V45" i="1"/>
  <c r="V75" i="1"/>
  <c r="V80" i="2"/>
  <c r="P98" i="3"/>
  <c r="Q98" i="3" s="1"/>
  <c r="U43" i="1"/>
  <c r="R43" i="1"/>
  <c r="S43" i="1" s="1"/>
  <c r="V60" i="2"/>
  <c r="V19" i="3"/>
  <c r="V37" i="1"/>
  <c r="V76" i="1"/>
  <c r="R89" i="3"/>
  <c r="U89" i="3" s="1"/>
  <c r="V58" i="1"/>
  <c r="U21" i="1"/>
  <c r="R21" i="1"/>
  <c r="S21" i="1"/>
  <c r="S72" i="2"/>
  <c r="P49" i="2"/>
  <c r="Q49" i="2" s="1"/>
  <c r="R11" i="2"/>
  <c r="U11" i="2" s="1"/>
  <c r="U32" i="2"/>
  <c r="R32" i="2"/>
  <c r="S32" i="2" s="1"/>
  <c r="N87" i="2"/>
  <c r="S9" i="3"/>
  <c r="R82" i="1"/>
  <c r="U82" i="1" s="1"/>
  <c r="S82" i="1"/>
  <c r="S28" i="3"/>
  <c r="R28" i="3"/>
  <c r="U28" i="3"/>
  <c r="P11" i="1"/>
  <c r="Q11" i="1" s="1"/>
  <c r="N100" i="1"/>
  <c r="P7" i="1"/>
  <c r="V56" i="1"/>
  <c r="U62" i="3"/>
  <c r="V62" i="3" s="1"/>
  <c r="R56" i="3"/>
  <c r="U56" i="3" s="1"/>
  <c r="U83" i="1"/>
  <c r="V83" i="1" s="1"/>
  <c r="S14" i="2"/>
  <c r="U38" i="3"/>
  <c r="V38" i="3" s="1"/>
  <c r="V25" i="1"/>
  <c r="U81" i="1"/>
  <c r="U26" i="3"/>
  <c r="S77" i="2"/>
  <c r="U31" i="3"/>
  <c r="R65" i="2"/>
  <c r="S65" i="2" s="1"/>
  <c r="S11" i="3"/>
  <c r="R11" i="3"/>
  <c r="U11" i="3" s="1"/>
  <c r="S15" i="3"/>
  <c r="U15" i="3"/>
  <c r="R15" i="3"/>
  <c r="R78" i="2"/>
  <c r="U78" i="2" s="1"/>
  <c r="V62" i="1"/>
  <c r="P83" i="2"/>
  <c r="Q83" i="2" s="1"/>
  <c r="V29" i="1"/>
  <c r="S98" i="1"/>
  <c r="U77" i="3"/>
  <c r="V77" i="3" s="1"/>
  <c r="S34" i="1"/>
  <c r="V18" i="3"/>
  <c r="P51" i="1"/>
  <c r="Q51" i="1" s="1"/>
  <c r="Q7" i="2"/>
  <c r="P71" i="3"/>
  <c r="Q71" i="3" s="1"/>
  <c r="S27" i="3"/>
  <c r="V68" i="2"/>
  <c r="P84" i="3"/>
  <c r="Q84" i="3" s="1"/>
  <c r="U42" i="2"/>
  <c r="S42" i="2"/>
  <c r="R42" i="2"/>
  <c r="S16" i="2"/>
  <c r="S79" i="2"/>
  <c r="U35" i="3"/>
  <c r="R35" i="3"/>
  <c r="S35" i="3" s="1"/>
  <c r="P21" i="3"/>
  <c r="Q21" i="3" s="1"/>
  <c r="U52" i="3"/>
  <c r="P86" i="1"/>
  <c r="Q86" i="1" s="1"/>
  <c r="P14" i="1"/>
  <c r="Q14" i="1" s="1"/>
  <c r="P17" i="1"/>
  <c r="Q17" i="1" s="1"/>
  <c r="P57" i="2"/>
  <c r="Q57" i="2" s="1"/>
  <c r="V49" i="1"/>
  <c r="V92" i="1"/>
  <c r="S50" i="3"/>
  <c r="S12" i="2"/>
  <c r="V96" i="1"/>
  <c r="V33" i="1"/>
  <c r="U34" i="3"/>
  <c r="S34" i="3"/>
  <c r="R34" i="3"/>
  <c r="U58" i="3"/>
  <c r="S58" i="3"/>
  <c r="R58" i="3"/>
  <c r="S81" i="3"/>
  <c r="S97" i="1"/>
  <c r="U22" i="1"/>
  <c r="R22" i="1"/>
  <c r="S22" i="1" s="1"/>
  <c r="P90" i="3"/>
  <c r="Q90" i="3" s="1"/>
  <c r="U29" i="2"/>
  <c r="S29" i="2"/>
  <c r="R29" i="2"/>
  <c r="S16" i="1"/>
  <c r="R16" i="1"/>
  <c r="U16" i="1" s="1"/>
  <c r="P65" i="1"/>
  <c r="Q65" i="1" s="1"/>
  <c r="P52" i="1"/>
  <c r="Q52" i="1" s="1"/>
  <c r="V84" i="1"/>
  <c r="P69" i="1"/>
  <c r="Q69" i="1" s="1"/>
  <c r="U82" i="2"/>
  <c r="V82" i="2" s="1"/>
  <c r="V24" i="1"/>
  <c r="U48" i="3"/>
  <c r="V48" i="3" s="1"/>
  <c r="U87" i="1"/>
  <c r="S87" i="1"/>
  <c r="R87" i="1"/>
  <c r="P28" i="1"/>
  <c r="Q28" i="1" s="1"/>
  <c r="S15" i="2"/>
  <c r="R15" i="2"/>
  <c r="U15" i="2" s="1"/>
  <c r="R69" i="2"/>
  <c r="S69" i="2" s="1"/>
  <c r="P8" i="1"/>
  <c r="Q8" i="1" s="1"/>
  <c r="P40" i="1"/>
  <c r="Q40" i="1" s="1"/>
  <c r="P9" i="1"/>
  <c r="Q9" i="1" s="1"/>
  <c r="S48" i="2"/>
  <c r="S90" i="1"/>
  <c r="P48" i="1"/>
  <c r="Q48" i="1" s="1"/>
  <c r="U28" i="2"/>
  <c r="S28" i="2"/>
  <c r="R28" i="2"/>
  <c r="S53" i="1"/>
  <c r="S54" i="3"/>
  <c r="S60" i="1"/>
  <c r="U70" i="3"/>
  <c r="V70" i="3" s="1"/>
  <c r="U84" i="2"/>
  <c r="V84" i="2" s="1"/>
  <c r="S68" i="1"/>
  <c r="S44" i="3"/>
  <c r="U42" i="1"/>
  <c r="V42" i="1" s="1"/>
  <c r="U59" i="2"/>
  <c r="V59" i="2" s="1"/>
  <c r="V66" i="3"/>
  <c r="R12" i="1"/>
  <c r="U12" i="1" s="1"/>
  <c r="V64" i="2"/>
  <c r="V78" i="1"/>
  <c r="V76" i="2"/>
  <c r="V53" i="2"/>
  <c r="V27" i="2"/>
  <c r="P79" i="1"/>
  <c r="Q79" i="1" s="1"/>
  <c r="U76" i="3"/>
  <c r="S76" i="3"/>
  <c r="R76" i="3"/>
  <c r="P47" i="1"/>
  <c r="Q47" i="1" s="1"/>
  <c r="U64" i="1"/>
  <c r="V64" i="1" s="1"/>
  <c r="R67" i="3"/>
  <c r="U67" i="3" s="1"/>
  <c r="U55" i="1"/>
  <c r="V55" i="1" s="1"/>
  <c r="P39" i="1"/>
  <c r="Q39" i="1" s="1"/>
  <c r="R71" i="2"/>
  <c r="S71" i="2" s="1"/>
  <c r="U71" i="2"/>
  <c r="S46" i="1"/>
  <c r="P32" i="1"/>
  <c r="Q32" i="1" s="1"/>
  <c r="P27" i="1"/>
  <c r="Q27" i="1" s="1"/>
  <c r="P86" i="3"/>
  <c r="Q86" i="3" s="1"/>
  <c r="S40" i="3"/>
  <c r="R54" i="1"/>
  <c r="U54" i="1" s="1"/>
  <c r="S54" i="1"/>
  <c r="U85" i="1"/>
  <c r="V85" i="1" s="1"/>
  <c r="V88" i="1"/>
  <c r="U20" i="1"/>
  <c r="S20" i="1"/>
  <c r="R20" i="1"/>
  <c r="R15" i="1"/>
  <c r="U15" i="1" s="1"/>
  <c r="S15" i="1"/>
  <c r="P31" i="1"/>
  <c r="Q31" i="1" s="1"/>
  <c r="R25" i="2"/>
  <c r="U25" i="2" s="1"/>
  <c r="V67" i="1"/>
  <c r="V63" i="2"/>
  <c r="V63" i="1"/>
  <c r="P94" i="3"/>
  <c r="Q94" i="3" s="1"/>
  <c r="P70" i="2"/>
  <c r="Q70" i="2" s="1"/>
  <c r="P92" i="3"/>
  <c r="Q92" i="3" s="1"/>
  <c r="R19" i="1"/>
  <c r="U19" i="1" s="1"/>
  <c r="S19" i="1"/>
  <c r="U95" i="1"/>
  <c r="R95" i="1"/>
  <c r="S95" i="1" s="1"/>
  <c r="P96" i="3"/>
  <c r="Q96" i="3" s="1"/>
  <c r="R89" i="1"/>
  <c r="U89" i="1" s="1"/>
  <c r="U80" i="3"/>
  <c r="V80" i="3" s="1"/>
  <c r="V50" i="1"/>
  <c r="V22" i="2"/>
  <c r="V80" i="1"/>
  <c r="V60" i="3"/>
  <c r="V46" i="3"/>
  <c r="U18" i="2"/>
  <c r="S18" i="2"/>
  <c r="R18" i="2"/>
  <c r="S56" i="2"/>
  <c r="V75" i="2"/>
  <c r="P88" i="3"/>
  <c r="Q88" i="3" s="1"/>
  <c r="P61" i="1"/>
  <c r="Q61" i="1" s="1"/>
  <c r="P44" i="1"/>
  <c r="Q44" i="1" s="1"/>
  <c r="V41" i="1"/>
  <c r="V93" i="1"/>
  <c r="V38" i="1"/>
  <c r="V52" i="2"/>
  <c r="U59" i="1"/>
  <c r="R59" i="1"/>
  <c r="S59" i="1" s="1"/>
  <c r="U20" i="2"/>
  <c r="S20" i="2"/>
  <c r="R20" i="2"/>
  <c r="S55" i="2"/>
  <c r="V73" i="3"/>
  <c r="V82" i="3"/>
  <c r="R23" i="1"/>
  <c r="S23" i="1" s="1"/>
  <c r="U23" i="1"/>
  <c r="R91" i="1"/>
  <c r="U91" i="1" s="1"/>
  <c r="V78" i="3"/>
  <c r="P24" i="2"/>
  <c r="Q24" i="2" s="1"/>
  <c r="N100" i="3"/>
  <c r="U66" i="1"/>
  <c r="R66" i="1"/>
  <c r="S66" i="1"/>
  <c r="P35" i="1"/>
  <c r="Q35" i="1" s="1"/>
  <c r="P36" i="1"/>
  <c r="Q36" i="1" s="1"/>
  <c r="R8" i="2"/>
  <c r="U8" i="2" s="1"/>
  <c r="U67" i="2"/>
  <c r="R67" i="2"/>
  <c r="S67" i="2" s="1"/>
  <c r="R10" i="1"/>
  <c r="U10" i="1" s="1"/>
  <c r="P94" i="1"/>
  <c r="Q94" i="1" s="1"/>
  <c r="P13" i="1"/>
  <c r="Q13" i="1" s="1"/>
  <c r="P73" i="1"/>
  <c r="Q73" i="1" s="1"/>
  <c r="P18" i="1"/>
  <c r="Q18" i="1" s="1"/>
  <c r="P57" i="1"/>
  <c r="Q57" i="1" s="1"/>
  <c r="V22" i="3"/>
  <c r="V13" i="3"/>
  <c r="U74" i="3"/>
  <c r="S74" i="3"/>
  <c r="R74" i="3"/>
  <c r="V99" i="1"/>
  <c r="V43" i="1" l="1"/>
  <c r="V30" i="2"/>
  <c r="V17" i="3"/>
  <c r="V70" i="1"/>
  <c r="V71" i="1"/>
  <c r="V75" i="3"/>
  <c r="V69" i="2"/>
  <c r="V63" i="3"/>
  <c r="V26" i="2"/>
  <c r="V61" i="2"/>
  <c r="V59" i="1"/>
  <c r="V22" i="1"/>
  <c r="V32" i="2"/>
  <c r="V81" i="2"/>
  <c r="V25" i="3"/>
  <c r="V95" i="1"/>
  <c r="V35" i="3"/>
  <c r="V72" i="3"/>
  <c r="V67" i="2"/>
  <c r="V23" i="1"/>
  <c r="V71" i="2"/>
  <c r="V14" i="3"/>
  <c r="R13" i="1"/>
  <c r="U13" i="1" s="1"/>
  <c r="S13" i="1"/>
  <c r="V15" i="1"/>
  <c r="V46" i="1"/>
  <c r="V44" i="3"/>
  <c r="V27" i="3"/>
  <c r="V82" i="1"/>
  <c r="R98" i="3"/>
  <c r="U98" i="3" s="1"/>
  <c r="S98" i="3"/>
  <c r="V10" i="2"/>
  <c r="V53" i="3"/>
  <c r="V95" i="3"/>
  <c r="V33" i="3"/>
  <c r="V34" i="2"/>
  <c r="V83" i="3"/>
  <c r="V23" i="3"/>
  <c r="V97" i="3"/>
  <c r="R94" i="1"/>
  <c r="U94" i="1" s="1"/>
  <c r="S94" i="1"/>
  <c r="S8" i="2"/>
  <c r="V54" i="1"/>
  <c r="R90" i="3"/>
  <c r="S90" i="3" s="1"/>
  <c r="V12" i="2"/>
  <c r="R71" i="3"/>
  <c r="U71" i="3" s="1"/>
  <c r="S71" i="3"/>
  <c r="S11" i="2"/>
  <c r="V30" i="3"/>
  <c r="S85" i="2"/>
  <c r="S57" i="3"/>
  <c r="U14" i="3"/>
  <c r="U33" i="2"/>
  <c r="S33" i="2"/>
  <c r="R33" i="2"/>
  <c r="R68" i="3"/>
  <c r="U68" i="3" s="1"/>
  <c r="S73" i="2"/>
  <c r="S10" i="1"/>
  <c r="V56" i="2"/>
  <c r="S89" i="1"/>
  <c r="U47" i="1"/>
  <c r="S47" i="1"/>
  <c r="R47" i="1"/>
  <c r="S12" i="1"/>
  <c r="U48" i="1"/>
  <c r="S48" i="1"/>
  <c r="R48" i="1"/>
  <c r="U69" i="2"/>
  <c r="U65" i="1"/>
  <c r="R65" i="1"/>
  <c r="S65" i="1" s="1"/>
  <c r="V50" i="3"/>
  <c r="U86" i="1"/>
  <c r="R86" i="1"/>
  <c r="S86" i="1"/>
  <c r="Q87" i="2"/>
  <c r="R7" i="2"/>
  <c r="U65" i="2"/>
  <c r="V65" i="2" s="1"/>
  <c r="V14" i="2"/>
  <c r="P100" i="1"/>
  <c r="Q7" i="1"/>
  <c r="S89" i="3"/>
  <c r="S77" i="1"/>
  <c r="U41" i="3"/>
  <c r="V41" i="3" s="1"/>
  <c r="S42" i="3"/>
  <c r="S99" i="3"/>
  <c r="S38" i="2"/>
  <c r="S29" i="3"/>
  <c r="S44" i="2"/>
  <c r="R45" i="3"/>
  <c r="U45" i="3" s="1"/>
  <c r="S36" i="2"/>
  <c r="S36" i="3"/>
  <c r="S87" i="3"/>
  <c r="V19" i="1"/>
  <c r="V28" i="2"/>
  <c r="R17" i="1"/>
  <c r="U17" i="1" s="1"/>
  <c r="V45" i="2"/>
  <c r="V55" i="3"/>
  <c r="V9" i="2"/>
  <c r="V37" i="2"/>
  <c r="U24" i="2"/>
  <c r="S24" i="2"/>
  <c r="R24" i="2"/>
  <c r="V68" i="1"/>
  <c r="R52" i="1"/>
  <c r="U52" i="1" s="1"/>
  <c r="R14" i="1"/>
  <c r="S14" i="1" s="1"/>
  <c r="V16" i="2"/>
  <c r="V98" i="1"/>
  <c r="S78" i="2"/>
  <c r="R36" i="1"/>
  <c r="U36" i="1" s="1"/>
  <c r="S36" i="1"/>
  <c r="R92" i="3"/>
  <c r="S92" i="3" s="1"/>
  <c r="V90" i="1"/>
  <c r="V34" i="3"/>
  <c r="V42" i="2"/>
  <c r="P87" i="2"/>
  <c r="V9" i="3"/>
  <c r="R49" i="2"/>
  <c r="U49" i="2" s="1"/>
  <c r="U66" i="2"/>
  <c r="V66" i="2" s="1"/>
  <c r="V23" i="2"/>
  <c r="V19" i="2"/>
  <c r="V21" i="2"/>
  <c r="V51" i="3"/>
  <c r="V31" i="2"/>
  <c r="V18" i="2"/>
  <c r="U70" i="2"/>
  <c r="S70" i="2"/>
  <c r="R70" i="2"/>
  <c r="V20" i="1"/>
  <c r="V60" i="1"/>
  <c r="V48" i="2"/>
  <c r="V15" i="2"/>
  <c r="R21" i="3"/>
  <c r="S21" i="3" s="1"/>
  <c r="U21" i="3"/>
  <c r="V15" i="3"/>
  <c r="V13" i="2"/>
  <c r="R57" i="1"/>
  <c r="U57" i="1" s="1"/>
  <c r="S57" i="1"/>
  <c r="R44" i="1"/>
  <c r="U44" i="1" s="1"/>
  <c r="S44" i="1"/>
  <c r="R94" i="3"/>
  <c r="S94" i="3" s="1"/>
  <c r="S25" i="2"/>
  <c r="R86" i="3"/>
  <c r="S86" i="3" s="1"/>
  <c r="V54" i="3"/>
  <c r="R9" i="1"/>
  <c r="U9" i="1" s="1"/>
  <c r="V97" i="1"/>
  <c r="R84" i="3"/>
  <c r="S84" i="3"/>
  <c r="U84" i="3"/>
  <c r="S56" i="3"/>
  <c r="V21" i="1"/>
  <c r="S58" i="2"/>
  <c r="S17" i="2"/>
  <c r="U20" i="3"/>
  <c r="V20" i="3" s="1"/>
  <c r="V62" i="2"/>
  <c r="S86" i="2"/>
  <c r="U17" i="3"/>
  <c r="S39" i="2"/>
  <c r="S32" i="3"/>
  <c r="S39" i="3"/>
  <c r="S93" i="3"/>
  <c r="U64" i="3"/>
  <c r="R64" i="3"/>
  <c r="S64" i="3"/>
  <c r="V20" i="2"/>
  <c r="V87" i="1"/>
  <c r="V79" i="2"/>
  <c r="R51" i="1"/>
  <c r="S51" i="1" s="1"/>
  <c r="U11" i="1"/>
  <c r="R11" i="1"/>
  <c r="S11" i="1"/>
  <c r="V72" i="2"/>
  <c r="V10" i="3"/>
  <c r="V49" i="3"/>
  <c r="P100" i="3"/>
  <c r="Q7" i="3"/>
  <c r="V35" i="2"/>
  <c r="V43" i="2"/>
  <c r="V59" i="3"/>
  <c r="V91" i="3"/>
  <c r="V66" i="1"/>
  <c r="S91" i="1"/>
  <c r="R18" i="1"/>
  <c r="U18" i="1" s="1"/>
  <c r="V55" i="2"/>
  <c r="U61" i="1"/>
  <c r="R61" i="1"/>
  <c r="S61" i="1"/>
  <c r="U27" i="1"/>
  <c r="S27" i="1"/>
  <c r="R27" i="1"/>
  <c r="S67" i="3"/>
  <c r="U79" i="1"/>
  <c r="S79" i="1"/>
  <c r="R79" i="1"/>
  <c r="V53" i="1"/>
  <c r="R40" i="1"/>
  <c r="U40" i="1" s="1"/>
  <c r="R28" i="1"/>
  <c r="U28" i="1" s="1"/>
  <c r="S28" i="1"/>
  <c r="U69" i="1"/>
  <c r="R69" i="1"/>
  <c r="S69" i="1" s="1"/>
  <c r="V81" i="3"/>
  <c r="S85" i="3"/>
  <c r="S61" i="3"/>
  <c r="S69" i="3"/>
  <c r="V46" i="2"/>
  <c r="S41" i="2"/>
  <c r="S37" i="3"/>
  <c r="S50" i="2"/>
  <c r="V58" i="3"/>
  <c r="R35" i="1"/>
  <c r="U35" i="1" s="1"/>
  <c r="R96" i="3"/>
  <c r="S96" i="3" s="1"/>
  <c r="U96" i="3"/>
  <c r="V40" i="3"/>
  <c r="R39" i="1"/>
  <c r="U39" i="1" s="1"/>
  <c r="V76" i="3"/>
  <c r="V16" i="1"/>
  <c r="U83" i="2"/>
  <c r="S83" i="2"/>
  <c r="R83" i="2"/>
  <c r="V77" i="2"/>
  <c r="V43" i="3"/>
  <c r="V74" i="3"/>
  <c r="U73" i="1"/>
  <c r="R73" i="1"/>
  <c r="S73" i="1"/>
  <c r="R88" i="3"/>
  <c r="S88" i="3" s="1"/>
  <c r="R31" i="1"/>
  <c r="U31" i="1" s="1"/>
  <c r="R32" i="1"/>
  <c r="U32" i="1" s="1"/>
  <c r="S32" i="1"/>
  <c r="R8" i="1"/>
  <c r="U8" i="1" s="1"/>
  <c r="V29" i="2"/>
  <c r="R57" i="2"/>
  <c r="U57" i="2" s="1"/>
  <c r="V34" i="1"/>
  <c r="V11" i="3"/>
  <c r="V28" i="3"/>
  <c r="U54" i="2"/>
  <c r="S54" i="2"/>
  <c r="R54" i="2"/>
  <c r="V47" i="3"/>
  <c r="V40" i="2"/>
  <c r="V14" i="1" l="1"/>
  <c r="V96" i="3"/>
  <c r="V21" i="3"/>
  <c r="V88" i="3"/>
  <c r="V69" i="1"/>
  <c r="V86" i="3"/>
  <c r="V65" i="1"/>
  <c r="V24" i="2"/>
  <c r="V44" i="2"/>
  <c r="V85" i="2"/>
  <c r="V94" i="1"/>
  <c r="V28" i="1"/>
  <c r="V61" i="1"/>
  <c r="V29" i="3"/>
  <c r="V13" i="1"/>
  <c r="S8" i="1"/>
  <c r="S31" i="1"/>
  <c r="V69" i="3"/>
  <c r="U51" i="1"/>
  <c r="V51" i="1" s="1"/>
  <c r="S9" i="1"/>
  <c r="U94" i="3"/>
  <c r="V94" i="3" s="1"/>
  <c r="U92" i="3"/>
  <c r="V92" i="3" s="1"/>
  <c r="V78" i="2"/>
  <c r="S52" i="1"/>
  <c r="V87" i="3"/>
  <c r="V38" i="2"/>
  <c r="S68" i="3"/>
  <c r="U90" i="3"/>
  <c r="V90" i="3" s="1"/>
  <c r="R7" i="1"/>
  <c r="R100" i="1" s="1"/>
  <c r="Q100" i="1"/>
  <c r="V73" i="1"/>
  <c r="V91" i="1"/>
  <c r="V64" i="3"/>
  <c r="V25" i="2"/>
  <c r="U14" i="1"/>
  <c r="V86" i="1"/>
  <c r="V89" i="1"/>
  <c r="V79" i="1"/>
  <c r="V86" i="2"/>
  <c r="V56" i="3"/>
  <c r="S17" i="1"/>
  <c r="V36" i="3"/>
  <c r="V99" i="3"/>
  <c r="V48" i="1"/>
  <c r="V11" i="2"/>
  <c r="V58" i="2"/>
  <c r="V57" i="1"/>
  <c r="V83" i="2"/>
  <c r="V98" i="3"/>
  <c r="S39" i="1"/>
  <c r="V50" i="2"/>
  <c r="V85" i="3"/>
  <c r="S40" i="1"/>
  <c r="V84" i="3"/>
  <c r="V44" i="1"/>
  <c r="S49" i="2"/>
  <c r="V36" i="1"/>
  <c r="R87" i="2"/>
  <c r="V12" i="1"/>
  <c r="V10" i="1"/>
  <c r="V71" i="3"/>
  <c r="V54" i="2"/>
  <c r="V70" i="2"/>
  <c r="V36" i="2"/>
  <c r="V33" i="2"/>
  <c r="V32" i="1"/>
  <c r="V67" i="3"/>
  <c r="Q100" i="3"/>
  <c r="R7" i="3"/>
  <c r="R100" i="3" s="1"/>
  <c r="V11" i="1"/>
  <c r="V39" i="3"/>
  <c r="S57" i="2"/>
  <c r="U88" i="3"/>
  <c r="S35" i="1"/>
  <c r="V37" i="3"/>
  <c r="S18" i="1"/>
  <c r="U86" i="3"/>
  <c r="S45" i="3"/>
  <c r="V77" i="1"/>
  <c r="S7" i="2"/>
  <c r="V73" i="2"/>
  <c r="V39" i="2"/>
  <c r="V61" i="3"/>
  <c r="V93" i="3"/>
  <c r="V42" i="3"/>
  <c r="V41" i="2"/>
  <c r="V27" i="1"/>
  <c r="V32" i="3"/>
  <c r="V17" i="2"/>
  <c r="V89" i="3"/>
  <c r="U7" i="2"/>
  <c r="U87" i="2" s="1"/>
  <c r="V47" i="1"/>
  <c r="V57" i="3"/>
  <c r="V8" i="2"/>
  <c r="V57" i="2" l="1"/>
  <c r="V40" i="1"/>
  <c r="V68" i="3"/>
  <c r="V8" i="1"/>
  <c r="V31" i="1"/>
  <c r="V18" i="1"/>
  <c r="V49" i="2"/>
  <c r="S7" i="1"/>
  <c r="V9" i="1"/>
  <c r="V39" i="1"/>
  <c r="V52" i="1"/>
  <c r="V35" i="1"/>
  <c r="U7" i="3"/>
  <c r="U100" i="3" s="1"/>
  <c r="U7" i="1"/>
  <c r="U100" i="1" s="1"/>
  <c r="U101" i="1" s="1"/>
  <c r="U88" i="2" s="1"/>
  <c r="U101" i="3" s="1"/>
  <c r="S87" i="2"/>
  <c r="V7" i="2"/>
  <c r="V87" i="2" s="1"/>
  <c r="V45" i="3"/>
  <c r="S7" i="3"/>
  <c r="V17" i="1"/>
  <c r="S100" i="3" l="1"/>
  <c r="V7" i="3"/>
  <c r="V100" i="3" s="1"/>
  <c r="S100" i="1"/>
  <c r="S101" i="1" s="1"/>
  <c r="S88" i="2" s="1"/>
  <c r="S101" i="3" s="1"/>
  <c r="V7" i="1"/>
  <c r="V100" i="1" s="1"/>
  <c r="V101" i="1" s="1"/>
  <c r="V88" i="2" s="1"/>
  <c r="V101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7" authorId="0" shapeId="0" xr:uid="{00000000-0006-0000-0100-000001000000}">
      <text>
        <r>
          <rPr>
            <sz val="10"/>
            <rFont val="Arial"/>
            <family val="2"/>
          </rPr>
          <t>Indemnité réelle saisie dans le fichier d'origine : conservée (non ventilée).</t>
        </r>
      </text>
    </comment>
    <comment ref="G7" authorId="0" shapeId="0" xr:uid="{00000000-0006-0000-0100-000002000000}">
      <text>
        <r>
          <rPr>
            <sz val="10"/>
            <rFont val="Arial"/>
            <family val="2"/>
          </rPr>
          <t>Indemnité réelle saisie dans le fichier d'origine : conservée (non ventilée).</t>
        </r>
      </text>
    </comment>
    <comment ref="H7" authorId="0" shapeId="0" xr:uid="{00000000-0006-0000-0100-000003000000}">
      <text>
        <r>
          <rPr>
            <sz val="10"/>
            <rFont val="Arial"/>
            <family val="2"/>
          </rPr>
          <t>Indemnité réelle saisie dans le fichier d'origine : conservée (non ventilée).</t>
        </r>
      </text>
    </comment>
  </commentList>
</comments>
</file>

<file path=xl/sharedStrings.xml><?xml version="1.0" encoding="utf-8"?>
<sst xmlns="http://schemas.openxmlformats.org/spreadsheetml/2006/main" count="407" uniqueCount="163">
  <si>
    <t>ETAT DES SALAIRES KS SARL</t>
  </si>
  <si>
    <t xml:space="preserve">Période: </t>
  </si>
  <si>
    <t>Ventilation simulée (max. exonéré)</t>
  </si>
  <si>
    <t>Hypothèses</t>
  </si>
  <si>
    <t>Calcul IUTS</t>
  </si>
  <si>
    <t>TPA, Rosalaire et net</t>
  </si>
  <si>
    <t>N°</t>
  </si>
  <si>
    <t>Nom&amp;Prénom</t>
  </si>
  <si>
    <t>DATE D'ENTREE</t>
  </si>
  <si>
    <t>Ind. Logement</t>
  </si>
  <si>
    <t>Ind. Transport</t>
  </si>
  <si>
    <t>Ind. Fonction</t>
  </si>
  <si>
    <t>Salaire de base</t>
  </si>
  <si>
    <t>Nb charges</t>
  </si>
  <si>
    <t>Catégorie</t>
  </si>
  <si>
    <t>Montant exonéré</t>
  </si>
  <si>
    <t>CNSS salarié 5,5 %</t>
  </si>
  <si>
    <t>Déduction retraite</t>
  </si>
  <si>
    <t>Abattement forfaitaire</t>
  </si>
  <si>
    <t>Base imposable (arr. 100)</t>
  </si>
  <si>
    <t>IUTS brut</t>
  </si>
  <si>
    <t>Réduction charges</t>
  </si>
  <si>
    <t>IUTS NET</t>
  </si>
  <si>
    <t>TPA 3 % (patronale)</t>
  </si>
  <si>
    <t>Rosalaire 1 %</t>
  </si>
  <si>
    <t>SALAIRE NET À PAYER</t>
  </si>
  <si>
    <t>BAGAGNAN Salima</t>
  </si>
  <si>
    <t>BANHORO Adama</t>
  </si>
  <si>
    <t>BARRO Yacouba</t>
  </si>
  <si>
    <t>BASSOLE Ines</t>
  </si>
  <si>
    <t>BAWAR B. Fulgence</t>
  </si>
  <si>
    <t>BAZIE Issouf</t>
  </si>
  <si>
    <t>BELEM Abdoulaye</t>
  </si>
  <si>
    <t>BENAO Souleymane</t>
  </si>
  <si>
    <t>BILOGO Aline</t>
  </si>
  <si>
    <t>BONKOUNGOU Judicael</t>
  </si>
  <si>
    <t>BONKOUNGOU Moussa</t>
  </si>
  <si>
    <t>BOUKARI Amidou</t>
  </si>
  <si>
    <t>COULIBALY Ahmed</t>
  </si>
  <si>
    <t>DIABATE Mohamed</t>
  </si>
  <si>
    <t>DIALLO Boureima</t>
  </si>
  <si>
    <t>GANSONRE Alassane</t>
  </si>
  <si>
    <t>GOUBA Simon</t>
  </si>
  <si>
    <t>GOULLA Parbouré</t>
  </si>
  <si>
    <t>GUIGUEMDE CALEB</t>
  </si>
  <si>
    <t>ILBOUDO Alassane</t>
  </si>
  <si>
    <t>ILBOUDO Jean Marie</t>
  </si>
  <si>
    <t>ILBOUDO Zakaria</t>
  </si>
  <si>
    <t>KABORE Abdoulaye</t>
  </si>
  <si>
    <t>KABORE Dramane</t>
  </si>
  <si>
    <t>0107/2026</t>
  </si>
  <si>
    <t>KABORE Lassane</t>
  </si>
  <si>
    <t>KABORE Sid Mohamed</t>
  </si>
  <si>
    <t>KABRE Ali</t>
  </si>
  <si>
    <t>KABRE Daouda</t>
  </si>
  <si>
    <t>KABRE Esther</t>
  </si>
  <si>
    <t>KARAMA Youmati</t>
  </si>
  <si>
    <t>KAZIENGA PascaL</t>
  </si>
  <si>
    <t>KOANDA Souleymane</t>
  </si>
  <si>
    <t>KOMPAORE Anicet</t>
  </si>
  <si>
    <t>KONE Tidiane</t>
  </si>
  <si>
    <t>KONSIMBO A. Aziz</t>
  </si>
  <si>
    <t>MAIGA Harisso</t>
  </si>
  <si>
    <t>NANEMA Roger</t>
  </si>
  <si>
    <t>NANGA Yaba</t>
  </si>
  <si>
    <t>NIKIEMA Ibrahim</t>
  </si>
  <si>
    <t>NITIEMA Soumaila</t>
  </si>
  <si>
    <t>OUATTARA Abou</t>
  </si>
  <si>
    <t>OUATTARA Alassane</t>
  </si>
  <si>
    <t>OUEDRAOGO A. Aziz</t>
  </si>
  <si>
    <t>OUEDRAOGO Abdoul Ganyou</t>
  </si>
  <si>
    <t>OUEDRAOGO Abdoul Rasmane</t>
  </si>
  <si>
    <t>OUEDRAOGO Ali</t>
  </si>
  <si>
    <t>OUEDRAOGO Aziz</t>
  </si>
  <si>
    <t>OUEDRAOGO Christian</t>
  </si>
  <si>
    <t>OUEDRAOGO Ibrahim</t>
  </si>
  <si>
    <t>OUEDRAOGO Issa</t>
  </si>
  <si>
    <t>OUEDRAOGO Karim</t>
  </si>
  <si>
    <t>OUEDRAOGO Micailou</t>
  </si>
  <si>
    <t>OUEDRAOGO Mohamed</t>
  </si>
  <si>
    <t>OUEDRAOGO Moustapha</t>
  </si>
  <si>
    <t>OUEDRAOGO Ousseni</t>
  </si>
  <si>
    <t>OUEDRAOGO Raogo G. Fernand</t>
  </si>
  <si>
    <t>OUEDRAOGO Réné</t>
  </si>
  <si>
    <t>OUEDRAOGO Sebastien</t>
  </si>
  <si>
    <t>OUEDRAOGO Souleymane</t>
  </si>
  <si>
    <t>OUEDRAOGO T. Issaka</t>
  </si>
  <si>
    <t>RABO Abdoul Razack</t>
  </si>
  <si>
    <t>SABO Daouda</t>
  </si>
  <si>
    <t>SALO Arouna</t>
  </si>
  <si>
    <t>SANA Mahamadi</t>
  </si>
  <si>
    <t>SANFO Aziz</t>
  </si>
  <si>
    <t>SANGA Boureima</t>
  </si>
  <si>
    <t>SAWADOGO Faissal</t>
  </si>
  <si>
    <t>SAWADOGO Ibrahim</t>
  </si>
  <si>
    <t>SAWADOGO Ousseni</t>
  </si>
  <si>
    <t>SEYNOU Cheick Omar</t>
  </si>
  <si>
    <t>SOULAMA Bamassi</t>
  </si>
  <si>
    <t>TIENDREBEOGO Mohamed</t>
  </si>
  <si>
    <t>TRAORE Bilal</t>
  </si>
  <si>
    <t>TRAORE Moussa</t>
  </si>
  <si>
    <t>TRAORE Souleymane</t>
  </si>
  <si>
    <t>WREMA Menahourna</t>
  </si>
  <si>
    <t>YAGO Carole</t>
  </si>
  <si>
    <t>YAGUIBOU Batatias</t>
  </si>
  <si>
    <t>YAMEOGO Pascal</t>
  </si>
  <si>
    <t>YARA Rachidatou</t>
  </si>
  <si>
    <t>ZABPAODRE Amed</t>
  </si>
  <si>
    <t>ZABRE D. Daouda</t>
  </si>
  <si>
    <t>ZERBO Ousmane</t>
  </si>
  <si>
    <t>ZEBO Hervé</t>
  </si>
  <si>
    <t>ZIBA Abdoul Rasmané</t>
  </si>
  <si>
    <t>ZIDOUEMBA Latifou</t>
  </si>
  <si>
    <t>ZOANGA Issa</t>
  </si>
  <si>
    <t>ZOMBRE Ponde Paul</t>
  </si>
  <si>
    <t>ZONGO Arnaud</t>
  </si>
  <si>
    <t>ZONGO Soumaila</t>
  </si>
  <si>
    <t>ZOROM Adama</t>
  </si>
  <si>
    <t>ZOROM Daouda</t>
  </si>
  <si>
    <t>Total par mois</t>
  </si>
  <si>
    <t>CUMUL</t>
  </si>
  <si>
    <t>Hypothèses du calcul IUTS (modifiables) :</t>
  </si>
  <si>
    <t>• 0 charge de famille pour tous — colonne « Nb charges » à corriger au besoin.</t>
  </si>
  <si>
    <t>• Catégorie : salaire de base &lt; 150 000 → cadre inférieur (abattement 25 %) ; sinon cadre supérieur (abattement 20 %).</t>
  </si>
  <si>
    <t>• Rosalaire = 1 % × (brut − IUTS − CNSS) ; net à payer = brut − CNSS − IUTS − Rosalaire ; TPA = 3 % du brut, à la charge de l'employeur.</t>
  </si>
  <si>
    <t>• Brut ventilé au maximum exonéré : logement 20 % (≤ 75 000), transport 5 % (≤ 30 000), fonction 5 % (≤ 50 000) du brut ; le reste = salaire de base.</t>
  </si>
  <si>
    <t>• Taux, plafonds et barème : onglet « Paramètres ». IUTS net arrondi au franc.</t>
  </si>
  <si>
    <t>AOUT 2026</t>
  </si>
  <si>
    <t>BASE</t>
  </si>
  <si>
    <t>Brut</t>
  </si>
  <si>
    <t>• Indemnités réelles déjà saisies (en bleu) conservées : BAGAGNAN Salima.</t>
  </si>
  <si>
    <t>PARAMÈTRES DE CALCUL DE L'IUTS — Burkina Faso (CGI 2025)</t>
  </si>
  <si>
    <t>Valeurs identiques au barème par défaut du moteur Sigma Paie &amp; RH. Cellules bleues modifiables : tous les onglets se recalculent.</t>
  </si>
  <si>
    <t>Cotisations, abattements et taxes</t>
  </si>
  <si>
    <t>Valeur</t>
  </si>
  <si>
    <t>Taux CNSS part salariale</t>
  </si>
  <si>
    <t>Retenue déductible de la base IUTS</t>
  </si>
  <si>
    <t>Plafond mensuel de l'assiette CNSS (FCFA)</t>
  </si>
  <si>
    <t>Plafond déduction retraite (% du salaire de base)</t>
  </si>
  <si>
    <t>Art. 111 CGI</t>
  </si>
  <si>
    <t>Abattement forfaitaire — cadre inférieur (% salaire de base)</t>
  </si>
  <si>
    <t>Abattement forfaitaire — cadre supérieur (% salaire de base)</t>
  </si>
  <si>
    <t>Seuil cadre supérieur — salaire de base à partir de (FCFA)</t>
  </si>
  <si>
    <t>Base &lt; seuil : cadre inférieur ; sinon cadre supérieur (règle KS SARL)</t>
  </si>
  <si>
    <t>Rosalaire / retenue spéciale (% de brut − IUTS − CNSS)</t>
  </si>
  <si>
    <t>Retenue salariale</t>
  </si>
  <si>
    <t>Taxe patronale et d'apprentissage — TPA (% du brut)</t>
  </si>
  <si>
    <t>Charge patronale, non retenue sur le salaire</t>
  </si>
  <si>
    <t>Indemnités exonérées (Art. 106 CGI)</t>
  </si>
  <si>
    <t>Taux max (% du brut)</t>
  </si>
  <si>
    <t>Plafond (FCFA)</t>
  </si>
  <si>
    <t>Logement</t>
  </si>
  <si>
    <t>Transport</t>
  </si>
  <si>
    <t>Fonction</t>
  </si>
  <si>
    <t>Barème progressif IUTS (Art. 112 CGI) — de</t>
  </si>
  <si>
    <t>à</t>
  </si>
  <si>
    <t>Taux</t>
  </si>
  <si>
    <t>Taux marginal différentiel</t>
  </si>
  <si>
    <t>et plus</t>
  </si>
  <si>
    <t>Base imposable arrondie à la centaine inférieure avant application du barème.</t>
  </si>
  <si>
    <t>Réduction pour charges de famille (Art. 113 CGI) — nb charges</t>
  </si>
  <si>
    <t>Réduction</t>
  </si>
  <si>
    <t>Au-delà de 7 charges, la réduction de 7 charges s'applique.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</si>
</sst>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_-* #,##0\ _€_-;\-* #,##0\ _€_-;_-* &quot;- &quot;_€_-;_-@_-"/>
    <numFmt numFmtId="166" formatCode="0.0%"/>
  </numFmts>
  <fonts count="29" x14ac:knownFonts="1">
    <font>
      <sz val="11"/>
      <color theme="1"/>
      <name val="Calibri"/>
      <family val="2"/>
      <charset val="1"/>
    </font>
    <font>
      <b/>
      <sz val="14"/>
      <name val="Arial"/>
      <family val="2"/>
      <charset val="1"/>
    </font>
    <font>
      <b/>
      <sz val="10"/>
      <name val="Arial"/>
      <charset val="1"/>
    </font>
    <font>
      <b/>
      <sz val="10"/>
      <name val="Times New Roman"/>
      <family val="1"/>
      <charset val="1"/>
    </font>
    <font>
      <b/>
      <sz val="16"/>
      <name val="Times New Roman"/>
      <family val="1"/>
      <charset val="1"/>
    </font>
    <font>
      <b/>
      <sz val="10"/>
      <name val="Times New Roman"/>
      <charset val="1"/>
    </font>
    <font>
      <sz val="11"/>
      <name val="Calibri"/>
      <family val="2"/>
      <charset val="1"/>
    </font>
    <font>
      <sz val="11"/>
      <name val="Times New Roman"/>
      <family val="1"/>
      <charset val="1"/>
    </font>
    <font>
      <b/>
      <sz val="14"/>
      <name val="Times New Roman"/>
      <family val="1"/>
      <charset val="1"/>
    </font>
    <font>
      <sz val="11"/>
      <name val="Calibri"/>
      <charset val="1"/>
    </font>
    <font>
      <sz val="11"/>
      <color rgb="FF0000FF"/>
      <name val="Calibri"/>
      <charset val="1"/>
    </font>
    <font>
      <sz val="10"/>
      <name val="Calibri"/>
      <charset val="1"/>
    </font>
    <font>
      <b/>
      <sz val="11"/>
      <name val="Calibri"/>
      <charset val="1"/>
    </font>
    <font>
      <sz val="11"/>
      <color rgb="FFFF0000"/>
      <name val="Calibri"/>
      <family val="2"/>
      <charset val="1"/>
    </font>
    <font>
      <sz val="11"/>
      <name val="Arial"/>
      <family val="2"/>
      <charset val="1"/>
    </font>
    <font>
      <sz val="10"/>
      <name val="Times New Roman"/>
      <family val="1"/>
      <charset val="1"/>
    </font>
    <font>
      <b/>
      <sz val="16"/>
      <name val="Arial"/>
      <family val="2"/>
      <charset val="1"/>
    </font>
    <font>
      <b/>
      <sz val="14"/>
      <name val="Calibri"/>
      <family val="2"/>
      <charset val="1"/>
    </font>
    <font>
      <b/>
      <sz val="14"/>
      <name val="Calibri"/>
      <charset val="1"/>
    </font>
    <font>
      <b/>
      <sz val="16"/>
      <name val="Calibri"/>
      <charset val="1"/>
    </font>
    <font>
      <b/>
      <sz val="16"/>
      <name val="Calibri"/>
      <family val="2"/>
      <charset val="1"/>
    </font>
    <font>
      <b/>
      <sz val="9"/>
      <name val="Arial"/>
      <charset val="1"/>
    </font>
    <font>
      <i/>
      <sz val="9"/>
      <name val="Arial"/>
      <charset val="1"/>
    </font>
    <font>
      <sz val="11"/>
      <color rgb="FF0000FF"/>
      <name val="Times New Roman"/>
      <charset val="1"/>
    </font>
    <font>
      <sz val="11"/>
      <name val="Times New Roman"/>
      <charset val="1"/>
    </font>
    <font>
      <sz val="10"/>
      <name val="Arial"/>
      <family val="2"/>
    </font>
    <font>
      <b/>
      <sz val="13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CC99FF"/>
        <bgColor rgb="FF9999FF"/>
      </patternFill>
    </fill>
    <fill>
      <patternFill patternType="solid">
        <fgColor rgb="FFD9D9D9"/>
        <bgColor rgb="FFBDD7EE"/>
      </patternFill>
    </fill>
    <fill>
      <patternFill patternType="solid">
        <fgColor rgb="FFFFF2CC"/>
        <bgColor rgb="FFFFFFFF"/>
      </patternFill>
    </fill>
    <fill>
      <patternFill patternType="solid">
        <fgColor rgb="FF00B050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theme="0" tint="-0.249977111117893"/>
        <bgColor rgb="FFBDD7EE"/>
      </patternFill>
    </fill>
    <fill>
      <patternFill patternType="solid">
        <fgColor rgb="FFFFC000"/>
        <bgColor rgb="FFFF9900"/>
      </patternFill>
    </fill>
    <fill>
      <patternFill patternType="solid">
        <fgColor theme="5" tint="0.59987182226020086"/>
        <bgColor rgb="FFD9D9D9"/>
      </patternFill>
    </fill>
    <fill>
      <patternFill patternType="solid">
        <fgColor theme="4" tint="0.59987182226020086"/>
        <bgColor rgb="FFD9D9D9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vertical="center"/>
    </xf>
    <xf numFmtId="0" fontId="0" fillId="6" borderId="4" xfId="0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 wrapText="1"/>
    </xf>
    <xf numFmtId="17" fontId="4" fillId="7" borderId="4" xfId="0" applyNumberFormat="1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0" fontId="7" fillId="0" borderId="4" xfId="0" applyFont="1" applyBorder="1"/>
    <xf numFmtId="164" fontId="8" fillId="0" borderId="4" xfId="0" applyNumberFormat="1" applyFont="1" applyBorder="1" applyAlignment="1">
      <alignment horizontal="center" vertical="center"/>
    </xf>
    <xf numFmtId="3" fontId="6" fillId="7" borderId="4" xfId="0" applyNumberFormat="1" applyFont="1" applyFill="1" applyBorder="1" applyAlignment="1">
      <alignment horizontal="center" vertical="center"/>
    </xf>
    <xf numFmtId="3" fontId="9" fillId="0" borderId="4" xfId="0" applyNumberFormat="1" applyFont="1" applyBorder="1" applyAlignment="1">
      <alignment horizontal="center" vertical="center"/>
    </xf>
    <xf numFmtId="1" fontId="10" fillId="4" borderId="4" xfId="0" applyNumberFormat="1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3" fontId="12" fillId="0" borderId="4" xfId="0" applyNumberFormat="1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14" fillId="0" borderId="4" xfId="0" applyFont="1" applyBorder="1"/>
    <xf numFmtId="0" fontId="8" fillId="0" borderId="4" xfId="0" applyFont="1" applyBorder="1" applyAlignment="1">
      <alignment horizontal="center" vertical="center"/>
    </xf>
    <xf numFmtId="165" fontId="15" fillId="0" borderId="4" xfId="0" applyNumberFormat="1" applyFont="1" applyBorder="1" applyAlignment="1">
      <alignment horizontal="center"/>
    </xf>
    <xf numFmtId="164" fontId="8" fillId="0" borderId="4" xfId="0" applyNumberFormat="1" applyFont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7" fillId="0" borderId="5" xfId="0" applyFont="1" applyBorder="1"/>
    <xf numFmtId="164" fontId="8" fillId="0" borderId="5" xfId="0" applyNumberFormat="1" applyFont="1" applyBorder="1" applyAlignment="1">
      <alignment horizontal="center" vertical="center"/>
    </xf>
    <xf numFmtId="3" fontId="17" fillId="5" borderId="7" xfId="0" applyNumberFormat="1" applyFont="1" applyFill="1" applyBorder="1" applyAlignment="1">
      <alignment horizontal="center" vertical="center"/>
    </xf>
    <xf numFmtId="3" fontId="18" fillId="5" borderId="4" xfId="0" applyNumberFormat="1" applyFont="1" applyFill="1" applyBorder="1" applyAlignment="1">
      <alignment horizontal="center" vertical="center"/>
    </xf>
    <xf numFmtId="3" fontId="19" fillId="5" borderId="4" xfId="0" applyNumberFormat="1" applyFont="1" applyFill="1" applyBorder="1" applyAlignment="1">
      <alignment horizontal="center" vertical="center"/>
    </xf>
    <xf numFmtId="3" fontId="20" fillId="8" borderId="1" xfId="0" applyNumberFormat="1" applyFont="1" applyFill="1" applyBorder="1" applyAlignment="1">
      <alignment horizontal="center" vertical="center"/>
    </xf>
    <xf numFmtId="3" fontId="19" fillId="8" borderId="6" xfId="0" applyNumberFormat="1" applyFont="1" applyFill="1" applyBorder="1" applyAlignment="1">
      <alignment horizontal="center" vertical="center"/>
    </xf>
    <xf numFmtId="3" fontId="18" fillId="8" borderId="6" xfId="0" applyNumberFormat="1" applyFont="1" applyFill="1" applyBorder="1" applyAlignment="1">
      <alignment horizontal="center" vertical="center"/>
    </xf>
    <xf numFmtId="0" fontId="21" fillId="0" borderId="0" xfId="0" applyFont="1"/>
    <xf numFmtId="0" fontId="22" fillId="0" borderId="0" xfId="0" applyFont="1"/>
    <xf numFmtId="17" fontId="7" fillId="9" borderId="4" xfId="0" applyNumberFormat="1" applyFont="1" applyFill="1" applyBorder="1" applyAlignment="1">
      <alignment horizontal="center" vertical="center" wrapText="1"/>
    </xf>
    <xf numFmtId="3" fontId="7" fillId="0" borderId="4" xfId="0" applyNumberFormat="1" applyFont="1" applyBorder="1" applyAlignment="1">
      <alignment horizontal="center" vertical="center"/>
    </xf>
    <xf numFmtId="3" fontId="23" fillId="0" borderId="4" xfId="0" applyNumberFormat="1" applyFont="1" applyBorder="1" applyAlignment="1">
      <alignment horizontal="center" vertical="center"/>
    </xf>
    <xf numFmtId="3" fontId="6" fillId="9" borderId="4" xfId="0" applyNumberFormat="1" applyFont="1" applyFill="1" applyBorder="1" applyAlignment="1">
      <alignment horizontal="center" vertical="center"/>
    </xf>
    <xf numFmtId="3" fontId="24" fillId="0" borderId="4" xfId="0" applyNumberFormat="1" applyFont="1" applyBorder="1" applyAlignment="1">
      <alignment horizontal="center" vertical="center"/>
    </xf>
    <xf numFmtId="3" fontId="17" fillId="5" borderId="5" xfId="0" applyNumberFormat="1" applyFont="1" applyFill="1" applyBorder="1" applyAlignment="1">
      <alignment horizontal="center" vertical="center"/>
    </xf>
    <xf numFmtId="0" fontId="20" fillId="8" borderId="8" xfId="0" applyFont="1" applyFill="1" applyBorder="1" applyAlignment="1">
      <alignment horizontal="center" vertical="center"/>
    </xf>
    <xf numFmtId="17" fontId="4" fillId="10" borderId="4" xfId="0" applyNumberFormat="1" applyFont="1" applyFill="1" applyBorder="1" applyAlignment="1">
      <alignment horizontal="center" vertical="center" wrapText="1"/>
    </xf>
    <xf numFmtId="3" fontId="6" fillId="10" borderId="4" xfId="0" applyNumberFormat="1" applyFont="1" applyFill="1" applyBorder="1" applyAlignment="1">
      <alignment horizontal="center" vertical="center"/>
    </xf>
    <xf numFmtId="0" fontId="20" fillId="8" borderId="9" xfId="0" applyFont="1" applyFill="1" applyBorder="1" applyAlignment="1">
      <alignment horizontal="center" vertical="center"/>
    </xf>
    <xf numFmtId="0" fontId="26" fillId="0" borderId="0" xfId="0" applyFont="1"/>
    <xf numFmtId="0" fontId="2" fillId="6" borderId="4" xfId="0" applyFont="1" applyFill="1" applyBorder="1" applyAlignment="1">
      <alignment horizontal="center" vertical="center" wrapText="1"/>
    </xf>
    <xf numFmtId="0" fontId="27" fillId="0" borderId="4" xfId="0" applyFont="1" applyBorder="1"/>
    <xf numFmtId="166" fontId="28" fillId="0" borderId="4" xfId="0" applyNumberFormat="1" applyFont="1" applyBorder="1" applyAlignment="1">
      <alignment horizontal="center"/>
    </xf>
    <xf numFmtId="3" fontId="28" fillId="0" borderId="4" xfId="0" applyNumberFormat="1" applyFont="1" applyBorder="1" applyAlignment="1">
      <alignment horizontal="center"/>
    </xf>
    <xf numFmtId="166" fontId="27" fillId="0" borderId="4" xfId="0" applyNumberFormat="1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16" fillId="5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17" fontId="1" fillId="0" borderId="3" xfId="0" applyNumberFormat="1" applyFont="1" applyBorder="1" applyAlignment="1">
      <alignment horizontal="center"/>
    </xf>
    <xf numFmtId="0" fontId="2" fillId="3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17" fontId="1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16AD183-B42F-44D2-98EC-22282A9763E3}">
  <we:reference id="wa200009404" version="1.0.0.8" store="fr-FR" storeType="OMEX"/>
  <we:alternateReferences>
    <we:reference id="wa200009404" version="1.0.0.8" store="wa200009404" storeType="OMEX"/>
  </we:alternateReferences>
  <we:properties>
    <we:property name="claude.fileId" value="&quot;fe9b6014-4d53-4134-b5be-3dcd8a893972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V108"/>
  <sheetViews>
    <sheetView zoomScaleNormal="100" workbookViewId="0">
      <pane xSplit="3" ySplit="6" topLeftCell="D7" activePane="bottomRight" state="frozen"/>
      <selection activeCell="C17" sqref="C17"/>
      <selection pane="topRight" activeCell="C17" sqref="C17"/>
      <selection pane="bottomLeft" activeCell="C17" sqref="C17"/>
      <selection pane="bottomRight" activeCell="A76" sqref="A76:XFD76"/>
    </sheetView>
  </sheetViews>
  <sheetFormatPr baseColWidth="10" defaultColWidth="11.54296875" defaultRowHeight="14.5" x14ac:dyDescent="0.35"/>
  <cols>
    <col min="3" max="3" width="37.1796875" customWidth="1"/>
    <col min="4" max="4" width="18.81640625" customWidth="1"/>
    <col min="5" max="5" width="16.36328125" customWidth="1"/>
    <col min="6" max="9" width="13" customWidth="1"/>
    <col min="10" max="10" width="9" customWidth="1"/>
    <col min="11" max="11" width="15" customWidth="1"/>
    <col min="12" max="18" width="13" customWidth="1"/>
    <col min="19" max="19" width="15" customWidth="1"/>
    <col min="20" max="21" width="13" customWidth="1"/>
    <col min="22" max="22" width="16" customWidth="1"/>
  </cols>
  <sheetData>
    <row r="2" spans="2:22" x14ac:dyDescent="0.35">
      <c r="C2" s="1"/>
      <c r="D2" s="1"/>
    </row>
    <row r="3" spans="2:22" ht="15" customHeight="1" x14ac:dyDescent="0.35"/>
    <row r="4" spans="2:22" ht="21.75" customHeight="1" x14ac:dyDescent="0.35">
      <c r="B4" s="53" t="s">
        <v>0</v>
      </c>
      <c r="C4" s="53"/>
      <c r="D4" s="53"/>
      <c r="E4" s="53"/>
    </row>
    <row r="5" spans="2:22" ht="21.75" customHeight="1" x14ac:dyDescent="0.4">
      <c r="B5" s="54" t="s">
        <v>1</v>
      </c>
      <c r="C5" s="54"/>
      <c r="D5" s="55">
        <v>46204</v>
      </c>
      <c r="E5" s="55"/>
      <c r="F5" s="56" t="s">
        <v>2</v>
      </c>
      <c r="G5" s="56"/>
      <c r="H5" s="56"/>
      <c r="I5" s="56"/>
      <c r="J5" s="57" t="s">
        <v>3</v>
      </c>
      <c r="K5" s="57"/>
      <c r="L5" s="49" t="s">
        <v>4</v>
      </c>
      <c r="M5" s="49"/>
      <c r="N5" s="49"/>
      <c r="O5" s="49"/>
      <c r="P5" s="49"/>
      <c r="Q5" s="49"/>
      <c r="R5" s="49"/>
      <c r="S5" s="49"/>
      <c r="T5" s="50" t="s">
        <v>5</v>
      </c>
      <c r="U5" s="50"/>
      <c r="V5" s="50"/>
    </row>
    <row r="6" spans="2:22" ht="27" customHeight="1" x14ac:dyDescent="0.35">
      <c r="B6" s="2" t="s">
        <v>6</v>
      </c>
      <c r="C6" s="3" t="s">
        <v>7</v>
      </c>
      <c r="D6" s="4" t="s">
        <v>8</v>
      </c>
      <c r="E6" s="5">
        <v>46204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6" t="s">
        <v>14</v>
      </c>
      <c r="L6" s="6" t="s">
        <v>15</v>
      </c>
      <c r="M6" s="6" t="s">
        <v>16</v>
      </c>
      <c r="N6" s="6" t="s">
        <v>17</v>
      </c>
      <c r="O6" s="6" t="s">
        <v>18</v>
      </c>
      <c r="P6" s="6" t="s">
        <v>19</v>
      </c>
      <c r="Q6" s="6" t="s">
        <v>20</v>
      </c>
      <c r="R6" s="6" t="s">
        <v>21</v>
      </c>
      <c r="S6" s="6" t="s">
        <v>22</v>
      </c>
      <c r="T6" s="6" t="s">
        <v>23</v>
      </c>
      <c r="U6" s="6" t="s">
        <v>24</v>
      </c>
      <c r="V6" s="6" t="s">
        <v>25</v>
      </c>
    </row>
    <row r="7" spans="2:22" ht="17.25" customHeight="1" x14ac:dyDescent="0.35">
      <c r="B7" s="7">
        <v>1</v>
      </c>
      <c r="C7" s="8" t="s">
        <v>26</v>
      </c>
      <c r="D7" s="9">
        <v>46242</v>
      </c>
      <c r="E7" s="10">
        <v>0</v>
      </c>
      <c r="F7" s="11">
        <f>MIN(ROUNDDOWN(N($E7)*Paramètres!$C$16,0),Paramètres!$D$16)</f>
        <v>0</v>
      </c>
      <c r="G7" s="11">
        <f>MIN(ROUNDDOWN(N($E7)*Paramètres!$C$17,0),Paramètres!$D$17)</f>
        <v>0</v>
      </c>
      <c r="H7" s="11">
        <f>MIN(ROUNDDOWN(N($E7)*Paramètres!$C$18,0),Paramètres!$D$18)</f>
        <v>0</v>
      </c>
      <c r="I7" s="11">
        <f t="shared" ref="I7:I38" si="0">N($E7)-(F7+G7+H7)</f>
        <v>0</v>
      </c>
      <c r="J7" s="12">
        <v>0</v>
      </c>
      <c r="K7" s="13" t="str">
        <f>IF(I7&lt;Paramètres!$C$11,"Cadre inférieur","Cadre supérieur")</f>
        <v>Cadre inférieur</v>
      </c>
      <c r="L7" s="11">
        <f>MIN(F7,MIN(N($E7)*Paramètres!$C$16,Paramètres!$D$16))+MIN(G7,MIN(N($E7)*Paramètres!$C$17,Paramètres!$D$17))+MIN(H7,MIN(N($E7)*Paramètres!$C$18,Paramètres!$D$18))</f>
        <v>0</v>
      </c>
      <c r="M7" s="11">
        <f>MIN(N($E7),Paramètres!$C$7)*Paramètres!$C$6</f>
        <v>0</v>
      </c>
      <c r="N7" s="11">
        <f>MIN(M7,I7*Paramètres!$C$8)</f>
        <v>0</v>
      </c>
      <c r="O7" s="11">
        <f>I7*IF(K7="Cadre supérieur",Paramètres!$C$10,Paramètres!$C$9)</f>
        <v>0</v>
      </c>
      <c r="P7" s="11">
        <f t="shared" ref="P7:P38" si="1">MAX(0,ROUNDDOWN(N($E7)-L7-N7-O7,-2))</f>
        <v>0</v>
      </c>
      <c r="Q7" s="11">
        <f>SUMPRODUCT((P7&gt;Paramètres!$B$21:$B$27)*(P7-Paramètres!$B$21:$B$27)*Paramètres!$E$21:$E$27)</f>
        <v>0</v>
      </c>
      <c r="R7" s="11">
        <f>Q7*INDEX(Paramètres!$C$31:$C$38,MIN(MAX(INT(N(J7)),0),7)+1)</f>
        <v>0</v>
      </c>
      <c r="S7" s="14">
        <f t="shared" ref="S7:S38" si="2">ROUND(Q7-R7,0)</f>
        <v>0</v>
      </c>
      <c r="T7" s="11">
        <f>ROUND(N($E7)*Paramètres!$C$13,0)</f>
        <v>0</v>
      </c>
      <c r="U7" s="11">
        <f>ROUND(MAX(0,N($E7)-(Q7-R7)-M7)*Paramètres!$C$12,0)</f>
        <v>0</v>
      </c>
      <c r="V7" s="14">
        <f t="shared" ref="V7:V38" si="3">ROUND(N($E7)-M7-S7-U7,0)</f>
        <v>0</v>
      </c>
    </row>
    <row r="8" spans="2:22" s="15" customFormat="1" ht="17.25" customHeight="1" x14ac:dyDescent="0.35">
      <c r="B8" s="7">
        <v>2</v>
      </c>
      <c r="C8" s="8" t="s">
        <v>27</v>
      </c>
      <c r="D8" s="9">
        <v>46196</v>
      </c>
      <c r="E8" s="10">
        <v>0</v>
      </c>
      <c r="F8" s="11">
        <f>MIN(ROUNDDOWN(N($E8)*Paramètres!$C$16,0),Paramètres!$D$16)</f>
        <v>0</v>
      </c>
      <c r="G8" s="11">
        <f>MIN(ROUNDDOWN(N($E8)*Paramètres!$C$17,0),Paramètres!$D$17)</f>
        <v>0</v>
      </c>
      <c r="H8" s="11">
        <f>MIN(ROUNDDOWN(N($E8)*Paramètres!$C$18,0),Paramètres!$D$18)</f>
        <v>0</v>
      </c>
      <c r="I8" s="11">
        <f t="shared" si="0"/>
        <v>0</v>
      </c>
      <c r="J8" s="12">
        <v>0</v>
      </c>
      <c r="K8" s="13" t="str">
        <f>IF(I8&lt;Paramètres!$C$11,"Cadre inférieur","Cadre supérieur")</f>
        <v>Cadre inférieur</v>
      </c>
      <c r="L8" s="11">
        <f>MIN(F8,MIN(N($E8)*Paramètres!$C$16,Paramètres!$D$16))+MIN(G8,MIN(N($E8)*Paramètres!$C$17,Paramètres!$D$17))+MIN(H8,MIN(N($E8)*Paramètres!$C$18,Paramètres!$D$18))</f>
        <v>0</v>
      </c>
      <c r="M8" s="11">
        <f>MIN(N($E8),Paramètres!$C$7)*Paramètres!$C$6</f>
        <v>0</v>
      </c>
      <c r="N8" s="11">
        <f>MIN(M8,I8*Paramètres!$C$8)</f>
        <v>0</v>
      </c>
      <c r="O8" s="11">
        <f>I8*IF(K8="Cadre supérieur",Paramètres!$C$10,Paramètres!$C$9)</f>
        <v>0</v>
      </c>
      <c r="P8" s="11">
        <f t="shared" si="1"/>
        <v>0</v>
      </c>
      <c r="Q8" s="11">
        <f>SUMPRODUCT((P8&gt;Paramètres!$B$21:$B$27)*(P8-Paramètres!$B$21:$B$27)*Paramètres!$E$21:$E$27)</f>
        <v>0</v>
      </c>
      <c r="R8" s="11">
        <f>Q8*INDEX(Paramètres!$C$31:$C$38,MIN(MAX(INT(N(J8)),0),7)+1)</f>
        <v>0</v>
      </c>
      <c r="S8" s="14">
        <f t="shared" si="2"/>
        <v>0</v>
      </c>
      <c r="T8" s="11">
        <f>ROUND(N($E8)*Paramètres!$C$13,0)</f>
        <v>0</v>
      </c>
      <c r="U8" s="11">
        <f>ROUND(MAX(0,N($E8)-(Q8-R8)-M8)*Paramètres!$C$12,0)</f>
        <v>0</v>
      </c>
      <c r="V8" s="14">
        <f t="shared" si="3"/>
        <v>0</v>
      </c>
    </row>
    <row r="9" spans="2:22" ht="17.25" customHeight="1" x14ac:dyDescent="0.35">
      <c r="B9" s="7">
        <v>3</v>
      </c>
      <c r="C9" s="8" t="s">
        <v>28</v>
      </c>
      <c r="D9" s="9">
        <v>46000</v>
      </c>
      <c r="E9" s="10">
        <v>177387</v>
      </c>
      <c r="F9" s="11">
        <f>MIN(ROUNDDOWN(N($E9)*Paramètres!$C$16,0),Paramètres!$D$16)</f>
        <v>35477</v>
      </c>
      <c r="G9" s="11">
        <f>MIN(ROUNDDOWN(N($E9)*Paramètres!$C$17,0),Paramètres!$D$17)</f>
        <v>8869</v>
      </c>
      <c r="H9" s="11">
        <f>MIN(ROUNDDOWN(N($E9)*Paramètres!$C$18,0),Paramètres!$D$18)</f>
        <v>8869</v>
      </c>
      <c r="I9" s="11">
        <f t="shared" si="0"/>
        <v>124172</v>
      </c>
      <c r="J9" s="12">
        <v>0</v>
      </c>
      <c r="K9" s="13" t="str">
        <f>IF(I9&lt;Paramètres!$C$11,"Cadre inférieur","Cadre supérieur")</f>
        <v>Cadre inférieur</v>
      </c>
      <c r="L9" s="11">
        <f>MIN(F9,MIN(N($E9)*Paramètres!$C$16,Paramètres!$D$16))+MIN(G9,MIN(N($E9)*Paramètres!$C$17,Paramètres!$D$17))+MIN(H9,MIN(N($E9)*Paramètres!$C$18,Paramètres!$D$18))</f>
        <v>53215</v>
      </c>
      <c r="M9" s="11">
        <f>MIN(N($E9),Paramètres!$C$7)*Paramètres!$C$6</f>
        <v>9756.2849999999999</v>
      </c>
      <c r="N9" s="11">
        <f>MIN(M9,I9*Paramètres!$C$8)</f>
        <v>9756.2849999999999</v>
      </c>
      <c r="O9" s="11">
        <f>I9*IF(K9="Cadre supérieur",Paramètres!$C$10,Paramètres!$C$9)</f>
        <v>31043</v>
      </c>
      <c r="P9" s="11">
        <f t="shared" si="1"/>
        <v>83300</v>
      </c>
      <c r="Q9" s="11">
        <f>SUMPRODUCT((P9&gt;Paramètres!$B$21:$B$27)*(P9-Paramètres!$B$21:$B$27)*Paramètres!$E$21:$E$27)</f>
        <v>7108.1</v>
      </c>
      <c r="R9" s="11">
        <f>Q9*INDEX(Paramètres!$C$31:$C$38,MIN(MAX(INT(N(J9)),0),7)+1)</f>
        <v>0</v>
      </c>
      <c r="S9" s="14">
        <f t="shared" si="2"/>
        <v>7108</v>
      </c>
      <c r="T9" s="11">
        <f>ROUND(N($E9)*Paramètres!$C$13,0)</f>
        <v>5322</v>
      </c>
      <c r="U9" s="11">
        <f>ROUND(MAX(0,N($E9)-(Q9-R9)-M9)*Paramètres!$C$12,0)</f>
        <v>1605</v>
      </c>
      <c r="V9" s="14">
        <f t="shared" si="3"/>
        <v>158918</v>
      </c>
    </row>
    <row r="10" spans="2:22" ht="17.25" customHeight="1" x14ac:dyDescent="0.35">
      <c r="B10" s="7">
        <v>4</v>
      </c>
      <c r="C10" s="8" t="s">
        <v>29</v>
      </c>
      <c r="D10" s="9">
        <v>45677</v>
      </c>
      <c r="E10" s="10">
        <v>346515</v>
      </c>
      <c r="F10" s="11">
        <f>MIN(ROUNDDOWN(N($E10)*Paramètres!$C$16,0),Paramètres!$D$16)</f>
        <v>69303</v>
      </c>
      <c r="G10" s="11">
        <f>MIN(ROUNDDOWN(N($E10)*Paramètres!$C$17,0),Paramètres!$D$17)</f>
        <v>17325</v>
      </c>
      <c r="H10" s="11">
        <f>MIN(ROUNDDOWN(N($E10)*Paramètres!$C$18,0),Paramètres!$D$18)</f>
        <v>17325</v>
      </c>
      <c r="I10" s="11">
        <f t="shared" si="0"/>
        <v>242562</v>
      </c>
      <c r="J10" s="12">
        <v>0</v>
      </c>
      <c r="K10" s="13" t="str">
        <f>IF(I10&lt;Paramètres!$C$11,"Cadre inférieur","Cadre supérieur")</f>
        <v>Cadre supérieur</v>
      </c>
      <c r="L10" s="11">
        <f>MIN(F10,MIN(N($E10)*Paramètres!$C$16,Paramètres!$D$16))+MIN(G10,MIN(N($E10)*Paramètres!$C$17,Paramètres!$D$17))+MIN(H10,MIN(N($E10)*Paramètres!$C$18,Paramètres!$D$18))</f>
        <v>103953</v>
      </c>
      <c r="M10" s="11">
        <f>MIN(N($E10),Paramètres!$C$7)*Paramètres!$C$6</f>
        <v>19058.325000000001</v>
      </c>
      <c r="N10" s="11">
        <f>MIN(M10,I10*Paramètres!$C$8)</f>
        <v>19058.325000000001</v>
      </c>
      <c r="O10" s="11">
        <f>I10*IF(K10="Cadre supérieur",Paramètres!$C$10,Paramètres!$C$9)</f>
        <v>48512.4</v>
      </c>
      <c r="P10" s="11">
        <f t="shared" si="1"/>
        <v>174900</v>
      </c>
      <c r="Q10" s="11">
        <f>SUMPRODUCT((P10&gt;Paramètres!$B$21:$B$27)*(P10-Paramètres!$B$21:$B$27)*Paramètres!$E$21:$E$27)</f>
        <v>23133.299999999996</v>
      </c>
      <c r="R10" s="11">
        <f>Q10*INDEX(Paramètres!$C$31:$C$38,MIN(MAX(INT(N(J10)),0),7)+1)</f>
        <v>0</v>
      </c>
      <c r="S10" s="14">
        <f t="shared" si="2"/>
        <v>23133</v>
      </c>
      <c r="T10" s="11">
        <f>ROUND(N($E10)*Paramètres!$C$13,0)</f>
        <v>10395</v>
      </c>
      <c r="U10" s="11">
        <f>ROUND(MAX(0,N($E10)-(Q10-R10)-M10)*Paramètres!$C$12,0)</f>
        <v>3043</v>
      </c>
      <c r="V10" s="14">
        <f t="shared" si="3"/>
        <v>301281</v>
      </c>
    </row>
    <row r="11" spans="2:22" ht="17.25" customHeight="1" x14ac:dyDescent="0.35">
      <c r="B11" s="7">
        <v>5</v>
      </c>
      <c r="C11" s="8" t="s">
        <v>30</v>
      </c>
      <c r="D11" s="9">
        <v>46023</v>
      </c>
      <c r="E11" s="10">
        <v>165340</v>
      </c>
      <c r="F11" s="11">
        <f>MIN(ROUNDDOWN(N($E11)*Paramètres!$C$16,0),Paramètres!$D$16)</f>
        <v>33068</v>
      </c>
      <c r="G11" s="11">
        <f>MIN(ROUNDDOWN(N($E11)*Paramètres!$C$17,0),Paramètres!$D$17)</f>
        <v>8267</v>
      </c>
      <c r="H11" s="11">
        <f>MIN(ROUNDDOWN(N($E11)*Paramètres!$C$18,0),Paramètres!$D$18)</f>
        <v>8267</v>
      </c>
      <c r="I11" s="11">
        <f t="shared" si="0"/>
        <v>115738</v>
      </c>
      <c r="J11" s="12">
        <v>0</v>
      </c>
      <c r="K11" s="13" t="str">
        <f>IF(I11&lt;Paramètres!$C$11,"Cadre inférieur","Cadre supérieur")</f>
        <v>Cadre inférieur</v>
      </c>
      <c r="L11" s="11">
        <f>MIN(F11,MIN(N($E11)*Paramètres!$C$16,Paramètres!$D$16))+MIN(G11,MIN(N($E11)*Paramètres!$C$17,Paramètres!$D$17))+MIN(H11,MIN(N($E11)*Paramètres!$C$18,Paramètres!$D$18))</f>
        <v>49602</v>
      </c>
      <c r="M11" s="11">
        <f>MIN(N($E11),Paramètres!$C$7)*Paramètres!$C$6</f>
        <v>9093.7000000000007</v>
      </c>
      <c r="N11" s="11">
        <f>MIN(M11,I11*Paramètres!$C$8)</f>
        <v>9093.7000000000007</v>
      </c>
      <c r="O11" s="11">
        <f>I11*IF(K11="Cadre supérieur",Paramètres!$C$10,Paramètres!$C$9)</f>
        <v>28934.5</v>
      </c>
      <c r="P11" s="11">
        <f t="shared" si="1"/>
        <v>77700</v>
      </c>
      <c r="Q11" s="11">
        <f>SUMPRODUCT((P11&gt;Paramètres!$B$21:$B$27)*(P11-Paramètres!$B$21:$B$27)*Paramètres!$E$21:$E$27)</f>
        <v>6270.3</v>
      </c>
      <c r="R11" s="11">
        <f>Q11*INDEX(Paramètres!$C$31:$C$38,MIN(MAX(INT(N(J11)),0),7)+1)</f>
        <v>0</v>
      </c>
      <c r="S11" s="14">
        <f t="shared" si="2"/>
        <v>6270</v>
      </c>
      <c r="T11" s="11">
        <f>ROUND(N($E11)*Paramètres!$C$13,0)</f>
        <v>4960</v>
      </c>
      <c r="U11" s="11">
        <f>ROUND(MAX(0,N($E11)-(Q11-R11)-M11)*Paramètres!$C$12,0)</f>
        <v>1500</v>
      </c>
      <c r="V11" s="14">
        <f t="shared" si="3"/>
        <v>148476</v>
      </c>
    </row>
    <row r="12" spans="2:22" ht="17.25" customHeight="1" x14ac:dyDescent="0.35">
      <c r="B12" s="7">
        <v>6</v>
      </c>
      <c r="C12" s="8" t="s">
        <v>31</v>
      </c>
      <c r="D12" s="9">
        <v>46217</v>
      </c>
      <c r="E12" s="10">
        <v>0</v>
      </c>
      <c r="F12" s="11">
        <f>MIN(ROUNDDOWN(N($E12)*Paramètres!$C$16,0),Paramètres!$D$16)</f>
        <v>0</v>
      </c>
      <c r="G12" s="11">
        <f>MIN(ROUNDDOWN(N($E12)*Paramètres!$C$17,0),Paramètres!$D$17)</f>
        <v>0</v>
      </c>
      <c r="H12" s="11">
        <f>MIN(ROUNDDOWN(N($E12)*Paramètres!$C$18,0),Paramètres!$D$18)</f>
        <v>0</v>
      </c>
      <c r="I12" s="11">
        <f t="shared" si="0"/>
        <v>0</v>
      </c>
      <c r="J12" s="12">
        <v>0</v>
      </c>
      <c r="K12" s="13" t="str">
        <f>IF(I12&lt;Paramètres!$C$11,"Cadre inférieur","Cadre supérieur")</f>
        <v>Cadre inférieur</v>
      </c>
      <c r="L12" s="11">
        <f>MIN(F12,MIN(N($E12)*Paramètres!$C$16,Paramètres!$D$16))+MIN(G12,MIN(N($E12)*Paramètres!$C$17,Paramètres!$D$17))+MIN(H12,MIN(N($E12)*Paramètres!$C$18,Paramètres!$D$18))</f>
        <v>0</v>
      </c>
      <c r="M12" s="11">
        <f>MIN(N($E12),Paramètres!$C$7)*Paramètres!$C$6</f>
        <v>0</v>
      </c>
      <c r="N12" s="11">
        <f>MIN(M12,I12*Paramètres!$C$8)</f>
        <v>0</v>
      </c>
      <c r="O12" s="11">
        <f>I12*IF(K12="Cadre supérieur",Paramètres!$C$10,Paramètres!$C$9)</f>
        <v>0</v>
      </c>
      <c r="P12" s="11">
        <f t="shared" si="1"/>
        <v>0</v>
      </c>
      <c r="Q12" s="11">
        <f>SUMPRODUCT((P12&gt;Paramètres!$B$21:$B$27)*(P12-Paramètres!$B$21:$B$27)*Paramètres!$E$21:$E$27)</f>
        <v>0</v>
      </c>
      <c r="R12" s="11">
        <f>Q12*INDEX(Paramètres!$C$31:$C$38,MIN(MAX(INT(N(J12)),0),7)+1)</f>
        <v>0</v>
      </c>
      <c r="S12" s="14">
        <f t="shared" si="2"/>
        <v>0</v>
      </c>
      <c r="T12" s="11">
        <f>ROUND(N($E12)*Paramètres!$C$13,0)</f>
        <v>0</v>
      </c>
      <c r="U12" s="11">
        <f>ROUND(MAX(0,N($E12)-(Q12-R12)-M12)*Paramètres!$C$12,0)</f>
        <v>0</v>
      </c>
      <c r="V12" s="14">
        <f t="shared" si="3"/>
        <v>0</v>
      </c>
    </row>
    <row r="13" spans="2:22" ht="17.25" customHeight="1" x14ac:dyDescent="0.35">
      <c r="B13" s="7">
        <v>7</v>
      </c>
      <c r="C13" s="8" t="s">
        <v>32</v>
      </c>
      <c r="D13" s="9">
        <v>46174</v>
      </c>
      <c r="E13" s="10">
        <v>195484</v>
      </c>
      <c r="F13" s="11">
        <f>MIN(ROUNDDOWN(N($E13)*Paramètres!$C$16,0),Paramètres!$D$16)</f>
        <v>39096</v>
      </c>
      <c r="G13" s="11">
        <f>MIN(ROUNDDOWN(N($E13)*Paramètres!$C$17,0),Paramètres!$D$17)</f>
        <v>9774</v>
      </c>
      <c r="H13" s="11">
        <f>MIN(ROUNDDOWN(N($E13)*Paramètres!$C$18,0),Paramètres!$D$18)</f>
        <v>9774</v>
      </c>
      <c r="I13" s="11">
        <f t="shared" si="0"/>
        <v>136840</v>
      </c>
      <c r="J13" s="12">
        <v>0</v>
      </c>
      <c r="K13" s="13" t="str">
        <f>IF(I13&lt;Paramètres!$C$11,"Cadre inférieur","Cadre supérieur")</f>
        <v>Cadre inférieur</v>
      </c>
      <c r="L13" s="11">
        <f>MIN(F13,MIN(N($E13)*Paramètres!$C$16,Paramètres!$D$16))+MIN(G13,MIN(N($E13)*Paramètres!$C$17,Paramètres!$D$17))+MIN(H13,MIN(N($E13)*Paramètres!$C$18,Paramètres!$D$18))</f>
        <v>58644</v>
      </c>
      <c r="M13" s="11">
        <f>MIN(N($E13),Paramètres!$C$7)*Paramètres!$C$6</f>
        <v>10751.62</v>
      </c>
      <c r="N13" s="11">
        <f>MIN(M13,I13*Paramètres!$C$8)</f>
        <v>10751.62</v>
      </c>
      <c r="O13" s="11">
        <f>I13*IF(K13="Cadre supérieur",Paramètres!$C$10,Paramètres!$C$9)</f>
        <v>34210</v>
      </c>
      <c r="P13" s="11">
        <f t="shared" si="1"/>
        <v>91800</v>
      </c>
      <c r="Q13" s="11">
        <f>SUMPRODUCT((P13&gt;Paramètres!$B$21:$B$27)*(P13-Paramètres!$B$21:$B$27)*Paramètres!$E$21:$E$27)</f>
        <v>8442.6</v>
      </c>
      <c r="R13" s="11">
        <f>Q13*INDEX(Paramètres!$C$31:$C$38,MIN(MAX(INT(N(J13)),0),7)+1)</f>
        <v>0</v>
      </c>
      <c r="S13" s="14">
        <f t="shared" si="2"/>
        <v>8443</v>
      </c>
      <c r="T13" s="11">
        <f>ROUND(N($E13)*Paramètres!$C$13,0)</f>
        <v>5865</v>
      </c>
      <c r="U13" s="11">
        <f>ROUND(MAX(0,N($E13)-(Q13-R13)-M13)*Paramètres!$C$12,0)</f>
        <v>1763</v>
      </c>
      <c r="V13" s="14">
        <f t="shared" si="3"/>
        <v>174526</v>
      </c>
    </row>
    <row r="14" spans="2:22" ht="17.25" customHeight="1" x14ac:dyDescent="0.35">
      <c r="B14" s="7">
        <v>8</v>
      </c>
      <c r="C14" s="8" t="s">
        <v>33</v>
      </c>
      <c r="D14" s="9">
        <v>45778</v>
      </c>
      <c r="E14" s="10">
        <v>213566</v>
      </c>
      <c r="F14" s="11">
        <f>MIN(ROUNDDOWN(N($E14)*Paramètres!$C$16,0),Paramètres!$D$16)</f>
        <v>42713</v>
      </c>
      <c r="G14" s="11">
        <f>MIN(ROUNDDOWN(N($E14)*Paramètres!$C$17,0),Paramètres!$D$17)</f>
        <v>10678</v>
      </c>
      <c r="H14" s="11">
        <f>MIN(ROUNDDOWN(N($E14)*Paramètres!$C$18,0),Paramètres!$D$18)</f>
        <v>10678</v>
      </c>
      <c r="I14" s="11">
        <f t="shared" si="0"/>
        <v>149497</v>
      </c>
      <c r="J14" s="12">
        <v>0</v>
      </c>
      <c r="K14" s="13" t="str">
        <f>IF(I14&lt;Paramètres!$C$11,"Cadre inférieur","Cadre supérieur")</f>
        <v>Cadre inférieur</v>
      </c>
      <c r="L14" s="11">
        <f>MIN(F14,MIN(N($E14)*Paramètres!$C$16,Paramètres!$D$16))+MIN(G14,MIN(N($E14)*Paramètres!$C$17,Paramètres!$D$17))+MIN(H14,MIN(N($E14)*Paramètres!$C$18,Paramètres!$D$18))</f>
        <v>64069</v>
      </c>
      <c r="M14" s="11">
        <f>MIN(N($E14),Paramètres!$C$7)*Paramètres!$C$6</f>
        <v>11746.13</v>
      </c>
      <c r="N14" s="11">
        <f>MIN(M14,I14*Paramètres!$C$8)</f>
        <v>11746.13</v>
      </c>
      <c r="O14" s="11">
        <f>I14*IF(K14="Cadre supérieur",Paramètres!$C$10,Paramètres!$C$9)</f>
        <v>37374.25</v>
      </c>
      <c r="P14" s="11">
        <f t="shared" si="1"/>
        <v>100300</v>
      </c>
      <c r="Q14" s="11">
        <f>SUMPRODUCT((P14&gt;Paramètres!$B$21:$B$27)*(P14-Paramètres!$B$21:$B$27)*Paramètres!$E$21:$E$27)</f>
        <v>9777.1</v>
      </c>
      <c r="R14" s="11">
        <f>Q14*INDEX(Paramètres!$C$31:$C$38,MIN(MAX(INT(N(J14)),0),7)+1)</f>
        <v>0</v>
      </c>
      <c r="S14" s="14">
        <f t="shared" si="2"/>
        <v>9777</v>
      </c>
      <c r="T14" s="11">
        <f>ROUND(N($E14)*Paramètres!$C$13,0)</f>
        <v>6407</v>
      </c>
      <c r="U14" s="11">
        <f>ROUND(MAX(0,N($E14)-(Q14-R14)-M14)*Paramètres!$C$12,0)</f>
        <v>1920</v>
      </c>
      <c r="V14" s="14">
        <f t="shared" si="3"/>
        <v>190123</v>
      </c>
    </row>
    <row r="15" spans="2:22" ht="17.25" customHeight="1" x14ac:dyDescent="0.35">
      <c r="B15" s="7">
        <v>9</v>
      </c>
      <c r="C15" s="8" t="s">
        <v>34</v>
      </c>
      <c r="D15" s="9">
        <v>46250</v>
      </c>
      <c r="E15" s="10">
        <v>0</v>
      </c>
      <c r="F15" s="11">
        <f>MIN(ROUNDDOWN(N($E15)*Paramètres!$C$16,0),Paramètres!$D$16)</f>
        <v>0</v>
      </c>
      <c r="G15" s="11">
        <f>MIN(ROUNDDOWN(N($E15)*Paramètres!$C$17,0),Paramètres!$D$17)</f>
        <v>0</v>
      </c>
      <c r="H15" s="11">
        <f>MIN(ROUNDDOWN(N($E15)*Paramètres!$C$18,0),Paramètres!$D$18)</f>
        <v>0</v>
      </c>
      <c r="I15" s="11">
        <f t="shared" si="0"/>
        <v>0</v>
      </c>
      <c r="J15" s="12">
        <v>0</v>
      </c>
      <c r="K15" s="13" t="str">
        <f>IF(I15&lt;Paramètres!$C$11,"Cadre inférieur","Cadre supérieur")</f>
        <v>Cadre inférieur</v>
      </c>
      <c r="L15" s="11">
        <f>MIN(F15,MIN(N($E15)*Paramètres!$C$16,Paramètres!$D$16))+MIN(G15,MIN(N($E15)*Paramètres!$C$17,Paramètres!$D$17))+MIN(H15,MIN(N($E15)*Paramètres!$C$18,Paramètres!$D$18))</f>
        <v>0</v>
      </c>
      <c r="M15" s="11">
        <f>MIN(N($E15),Paramètres!$C$7)*Paramètres!$C$6</f>
        <v>0</v>
      </c>
      <c r="N15" s="11">
        <f>MIN(M15,I15*Paramètres!$C$8)</f>
        <v>0</v>
      </c>
      <c r="O15" s="11">
        <f>I15*IF(K15="Cadre supérieur",Paramètres!$C$10,Paramètres!$C$9)</f>
        <v>0</v>
      </c>
      <c r="P15" s="11">
        <f t="shared" si="1"/>
        <v>0</v>
      </c>
      <c r="Q15" s="11">
        <f>SUMPRODUCT((P15&gt;Paramètres!$B$21:$B$27)*(P15-Paramètres!$B$21:$B$27)*Paramètres!$E$21:$E$27)</f>
        <v>0</v>
      </c>
      <c r="R15" s="11">
        <f>Q15*INDEX(Paramètres!$C$31:$C$38,MIN(MAX(INT(N(J15)),0),7)+1)</f>
        <v>0</v>
      </c>
      <c r="S15" s="14">
        <f t="shared" si="2"/>
        <v>0</v>
      </c>
      <c r="T15" s="11">
        <f>ROUND(N($E15)*Paramètres!$C$13,0)</f>
        <v>0</v>
      </c>
      <c r="U15" s="11">
        <f>ROUND(MAX(0,N($E15)-(Q15-R15)-M15)*Paramètres!$C$12,0)</f>
        <v>0</v>
      </c>
      <c r="V15" s="14">
        <f t="shared" si="3"/>
        <v>0</v>
      </c>
    </row>
    <row r="16" spans="2:22" ht="17.25" customHeight="1" x14ac:dyDescent="0.35">
      <c r="B16" s="7">
        <v>10</v>
      </c>
      <c r="C16" s="8" t="s">
        <v>35</v>
      </c>
      <c r="D16" s="9">
        <v>45778</v>
      </c>
      <c r="E16" s="10">
        <v>213563</v>
      </c>
      <c r="F16" s="11">
        <f>MIN(ROUNDDOWN(N($E16)*Paramètres!$C$16,0),Paramètres!$D$16)</f>
        <v>42712</v>
      </c>
      <c r="G16" s="11">
        <f>MIN(ROUNDDOWN(N($E16)*Paramètres!$C$17,0),Paramètres!$D$17)</f>
        <v>10678</v>
      </c>
      <c r="H16" s="11">
        <f>MIN(ROUNDDOWN(N($E16)*Paramètres!$C$18,0),Paramètres!$D$18)</f>
        <v>10678</v>
      </c>
      <c r="I16" s="11">
        <f t="shared" si="0"/>
        <v>149495</v>
      </c>
      <c r="J16" s="12">
        <v>0</v>
      </c>
      <c r="K16" s="13" t="str">
        <f>IF(I16&lt;Paramètres!$C$11,"Cadre inférieur","Cadre supérieur")</f>
        <v>Cadre inférieur</v>
      </c>
      <c r="L16" s="11">
        <f>MIN(F16,MIN(N($E16)*Paramètres!$C$16,Paramètres!$D$16))+MIN(G16,MIN(N($E16)*Paramètres!$C$17,Paramètres!$D$17))+MIN(H16,MIN(N($E16)*Paramètres!$C$18,Paramètres!$D$18))</f>
        <v>64068</v>
      </c>
      <c r="M16" s="11">
        <f>MIN(N($E16),Paramètres!$C$7)*Paramètres!$C$6</f>
        <v>11745.965</v>
      </c>
      <c r="N16" s="11">
        <f>MIN(M16,I16*Paramètres!$C$8)</f>
        <v>11745.965</v>
      </c>
      <c r="O16" s="11">
        <f>I16*IF(K16="Cadre supérieur",Paramètres!$C$10,Paramètres!$C$9)</f>
        <v>37373.75</v>
      </c>
      <c r="P16" s="11">
        <f t="shared" si="1"/>
        <v>100300</v>
      </c>
      <c r="Q16" s="11">
        <f>SUMPRODUCT((P16&gt;Paramètres!$B$21:$B$27)*(P16-Paramètres!$B$21:$B$27)*Paramètres!$E$21:$E$27)</f>
        <v>9777.1</v>
      </c>
      <c r="R16" s="11">
        <f>Q16*INDEX(Paramètres!$C$31:$C$38,MIN(MAX(INT(N(J16)),0),7)+1)</f>
        <v>0</v>
      </c>
      <c r="S16" s="14">
        <f t="shared" si="2"/>
        <v>9777</v>
      </c>
      <c r="T16" s="11">
        <f>ROUND(N($E16)*Paramètres!$C$13,0)</f>
        <v>6407</v>
      </c>
      <c r="U16" s="11">
        <f>ROUND(MAX(0,N($E16)-(Q16-R16)-M16)*Paramètres!$C$12,0)</f>
        <v>1920</v>
      </c>
      <c r="V16" s="14">
        <f t="shared" si="3"/>
        <v>190120</v>
      </c>
    </row>
    <row r="17" spans="2:22" ht="17.25" customHeight="1" x14ac:dyDescent="0.35">
      <c r="B17" s="7">
        <v>11</v>
      </c>
      <c r="C17" s="8" t="s">
        <v>36</v>
      </c>
      <c r="D17" s="9">
        <v>45778</v>
      </c>
      <c r="E17" s="10">
        <v>213563</v>
      </c>
      <c r="F17" s="11">
        <f>MIN(ROUNDDOWN(N($E17)*Paramètres!$C$16,0),Paramètres!$D$16)</f>
        <v>42712</v>
      </c>
      <c r="G17" s="11">
        <f>MIN(ROUNDDOWN(N($E17)*Paramètres!$C$17,0),Paramètres!$D$17)</f>
        <v>10678</v>
      </c>
      <c r="H17" s="11">
        <f>MIN(ROUNDDOWN(N($E17)*Paramètres!$C$18,0),Paramètres!$D$18)</f>
        <v>10678</v>
      </c>
      <c r="I17" s="11">
        <f t="shared" si="0"/>
        <v>149495</v>
      </c>
      <c r="J17" s="12">
        <v>0</v>
      </c>
      <c r="K17" s="13" t="str">
        <f>IF(I17&lt;Paramètres!$C$11,"Cadre inférieur","Cadre supérieur")</f>
        <v>Cadre inférieur</v>
      </c>
      <c r="L17" s="11">
        <f>MIN(F17,MIN(N($E17)*Paramètres!$C$16,Paramètres!$D$16))+MIN(G17,MIN(N($E17)*Paramètres!$C$17,Paramètres!$D$17))+MIN(H17,MIN(N($E17)*Paramètres!$C$18,Paramètres!$D$18))</f>
        <v>64068</v>
      </c>
      <c r="M17" s="11">
        <f>MIN(N($E17),Paramètres!$C$7)*Paramètres!$C$6</f>
        <v>11745.965</v>
      </c>
      <c r="N17" s="11">
        <f>MIN(M17,I17*Paramètres!$C$8)</f>
        <v>11745.965</v>
      </c>
      <c r="O17" s="11">
        <f>I17*IF(K17="Cadre supérieur",Paramètres!$C$10,Paramètres!$C$9)</f>
        <v>37373.75</v>
      </c>
      <c r="P17" s="11">
        <f t="shared" si="1"/>
        <v>100300</v>
      </c>
      <c r="Q17" s="11">
        <f>SUMPRODUCT((P17&gt;Paramètres!$B$21:$B$27)*(P17-Paramètres!$B$21:$B$27)*Paramètres!$E$21:$E$27)</f>
        <v>9777.1</v>
      </c>
      <c r="R17" s="11">
        <f>Q17*INDEX(Paramètres!$C$31:$C$38,MIN(MAX(INT(N(J17)),0),7)+1)</f>
        <v>0</v>
      </c>
      <c r="S17" s="14">
        <f t="shared" si="2"/>
        <v>9777</v>
      </c>
      <c r="T17" s="11">
        <f>ROUND(N($E17)*Paramètres!$C$13,0)</f>
        <v>6407</v>
      </c>
      <c r="U17" s="11">
        <f>ROUND(MAX(0,N($E17)-(Q17-R17)-M17)*Paramètres!$C$12,0)</f>
        <v>1920</v>
      </c>
      <c r="V17" s="14">
        <f t="shared" si="3"/>
        <v>190120</v>
      </c>
    </row>
    <row r="18" spans="2:22" ht="17.25" customHeight="1" x14ac:dyDescent="0.35">
      <c r="B18" s="7">
        <v>12</v>
      </c>
      <c r="C18" s="8" t="s">
        <v>37</v>
      </c>
      <c r="D18" s="9">
        <v>46183</v>
      </c>
      <c r="E18" s="10">
        <v>80000</v>
      </c>
      <c r="F18" s="11">
        <f>MIN(ROUNDDOWN(N($E18)*Paramètres!$C$16,0),Paramètres!$D$16)</f>
        <v>16000</v>
      </c>
      <c r="G18" s="11">
        <f>MIN(ROUNDDOWN(N($E18)*Paramètres!$C$17,0),Paramètres!$D$17)</f>
        <v>4000</v>
      </c>
      <c r="H18" s="11">
        <f>MIN(ROUNDDOWN(N($E18)*Paramètres!$C$18,0),Paramètres!$D$18)</f>
        <v>4000</v>
      </c>
      <c r="I18" s="11">
        <f t="shared" si="0"/>
        <v>56000</v>
      </c>
      <c r="J18" s="12">
        <v>0</v>
      </c>
      <c r="K18" s="13" t="str">
        <f>IF(I18&lt;Paramètres!$C$11,"Cadre inférieur","Cadre supérieur")</f>
        <v>Cadre inférieur</v>
      </c>
      <c r="L18" s="11">
        <f>MIN(F18,MIN(N($E18)*Paramètres!$C$16,Paramètres!$D$16))+MIN(G18,MIN(N($E18)*Paramètres!$C$17,Paramètres!$D$17))+MIN(H18,MIN(N($E18)*Paramètres!$C$18,Paramètres!$D$18))</f>
        <v>24000</v>
      </c>
      <c r="M18" s="11">
        <f>MIN(N($E18),Paramètres!$C$7)*Paramètres!$C$6</f>
        <v>4400</v>
      </c>
      <c r="N18" s="11">
        <f>MIN(M18,I18*Paramètres!$C$8)</f>
        <v>4400</v>
      </c>
      <c r="O18" s="11">
        <f>I18*IF(K18="Cadre supérieur",Paramètres!$C$10,Paramètres!$C$9)</f>
        <v>14000</v>
      </c>
      <c r="P18" s="11">
        <f t="shared" si="1"/>
        <v>37600</v>
      </c>
      <c r="Q18" s="11">
        <f>SUMPRODUCT((P18&gt;Paramètres!$B$21:$B$27)*(P18-Paramètres!$B$21:$B$27)*Paramètres!$E$21:$E$27)</f>
        <v>919.6</v>
      </c>
      <c r="R18" s="11">
        <f>Q18*INDEX(Paramètres!$C$31:$C$38,MIN(MAX(INT(N(J18)),0),7)+1)</f>
        <v>0</v>
      </c>
      <c r="S18" s="14">
        <f t="shared" si="2"/>
        <v>920</v>
      </c>
      <c r="T18" s="11">
        <f>ROUND(N($E18)*Paramètres!$C$13,0)</f>
        <v>2400</v>
      </c>
      <c r="U18" s="11">
        <f>ROUND(MAX(0,N($E18)-(Q18-R18)-M18)*Paramètres!$C$12,0)</f>
        <v>747</v>
      </c>
      <c r="V18" s="14">
        <f t="shared" si="3"/>
        <v>73933</v>
      </c>
    </row>
    <row r="19" spans="2:22" ht="17.25" customHeight="1" x14ac:dyDescent="0.35">
      <c r="B19" s="7">
        <v>13</v>
      </c>
      <c r="C19" s="8" t="s">
        <v>38</v>
      </c>
      <c r="D19" s="9"/>
      <c r="E19" s="10">
        <v>0</v>
      </c>
      <c r="F19" s="11">
        <f>MIN(ROUNDDOWN(N($E19)*Paramètres!$C$16,0),Paramètres!$D$16)</f>
        <v>0</v>
      </c>
      <c r="G19" s="11">
        <f>MIN(ROUNDDOWN(N($E19)*Paramètres!$C$17,0),Paramètres!$D$17)</f>
        <v>0</v>
      </c>
      <c r="H19" s="11">
        <f>MIN(ROUNDDOWN(N($E19)*Paramètres!$C$18,0),Paramètres!$D$18)</f>
        <v>0</v>
      </c>
      <c r="I19" s="11">
        <f t="shared" si="0"/>
        <v>0</v>
      </c>
      <c r="J19" s="12">
        <v>0</v>
      </c>
      <c r="K19" s="13" t="str">
        <f>IF(I19&lt;Paramètres!$C$11,"Cadre inférieur","Cadre supérieur")</f>
        <v>Cadre inférieur</v>
      </c>
      <c r="L19" s="11">
        <f>MIN(F19,MIN(N($E19)*Paramètres!$C$16,Paramètres!$D$16))+MIN(G19,MIN(N($E19)*Paramètres!$C$17,Paramètres!$D$17))+MIN(H19,MIN(N($E19)*Paramètres!$C$18,Paramètres!$D$18))</f>
        <v>0</v>
      </c>
      <c r="M19" s="11">
        <f>MIN(N($E19),Paramètres!$C$7)*Paramètres!$C$6</f>
        <v>0</v>
      </c>
      <c r="N19" s="11">
        <f>MIN(M19,I19*Paramètres!$C$8)</f>
        <v>0</v>
      </c>
      <c r="O19" s="11">
        <f>I19*IF(K19="Cadre supérieur",Paramètres!$C$10,Paramètres!$C$9)</f>
        <v>0</v>
      </c>
      <c r="P19" s="11">
        <f t="shared" si="1"/>
        <v>0</v>
      </c>
      <c r="Q19" s="11">
        <f>SUMPRODUCT((P19&gt;Paramètres!$B$21:$B$27)*(P19-Paramètres!$B$21:$B$27)*Paramètres!$E$21:$E$27)</f>
        <v>0</v>
      </c>
      <c r="R19" s="11">
        <f>Q19*INDEX(Paramètres!$C$31:$C$38,MIN(MAX(INT(N(J19)),0),7)+1)</f>
        <v>0</v>
      </c>
      <c r="S19" s="14">
        <f t="shared" si="2"/>
        <v>0</v>
      </c>
      <c r="T19" s="11">
        <f>ROUND(N($E19)*Paramètres!$C$13,0)</f>
        <v>0</v>
      </c>
      <c r="U19" s="11">
        <f>ROUND(MAX(0,N($E19)-(Q19-R19)-M19)*Paramètres!$C$12,0)</f>
        <v>0</v>
      </c>
      <c r="V19" s="14">
        <f t="shared" si="3"/>
        <v>0</v>
      </c>
    </row>
    <row r="20" spans="2:22" ht="17.25" customHeight="1" x14ac:dyDescent="0.35">
      <c r="B20" s="7">
        <v>14</v>
      </c>
      <c r="C20" s="8" t="s">
        <v>39</v>
      </c>
      <c r="D20" s="9">
        <v>45950</v>
      </c>
      <c r="E20" s="10">
        <v>177387</v>
      </c>
      <c r="F20" s="11">
        <f>MIN(ROUNDDOWN(N($E20)*Paramètres!$C$16,0),Paramètres!$D$16)</f>
        <v>35477</v>
      </c>
      <c r="G20" s="11">
        <f>MIN(ROUNDDOWN(N($E20)*Paramètres!$C$17,0),Paramètres!$D$17)</f>
        <v>8869</v>
      </c>
      <c r="H20" s="11">
        <f>MIN(ROUNDDOWN(N($E20)*Paramètres!$C$18,0),Paramètres!$D$18)</f>
        <v>8869</v>
      </c>
      <c r="I20" s="11">
        <f t="shared" si="0"/>
        <v>124172</v>
      </c>
      <c r="J20" s="12">
        <v>0</v>
      </c>
      <c r="K20" s="13" t="str">
        <f>IF(I20&lt;Paramètres!$C$11,"Cadre inférieur","Cadre supérieur")</f>
        <v>Cadre inférieur</v>
      </c>
      <c r="L20" s="11">
        <f>MIN(F20,MIN(N($E20)*Paramètres!$C$16,Paramètres!$D$16))+MIN(G20,MIN(N($E20)*Paramètres!$C$17,Paramètres!$D$17))+MIN(H20,MIN(N($E20)*Paramètres!$C$18,Paramètres!$D$18))</f>
        <v>53215</v>
      </c>
      <c r="M20" s="11">
        <f>MIN(N($E20),Paramètres!$C$7)*Paramètres!$C$6</f>
        <v>9756.2849999999999</v>
      </c>
      <c r="N20" s="11">
        <f>MIN(M20,I20*Paramètres!$C$8)</f>
        <v>9756.2849999999999</v>
      </c>
      <c r="O20" s="11">
        <f>I20*IF(K20="Cadre supérieur",Paramètres!$C$10,Paramètres!$C$9)</f>
        <v>31043</v>
      </c>
      <c r="P20" s="11">
        <f t="shared" si="1"/>
        <v>83300</v>
      </c>
      <c r="Q20" s="11">
        <f>SUMPRODUCT((P20&gt;Paramètres!$B$21:$B$27)*(P20-Paramètres!$B$21:$B$27)*Paramètres!$E$21:$E$27)</f>
        <v>7108.1</v>
      </c>
      <c r="R20" s="11">
        <f>Q20*INDEX(Paramètres!$C$31:$C$38,MIN(MAX(INT(N(J20)),0),7)+1)</f>
        <v>0</v>
      </c>
      <c r="S20" s="14">
        <f t="shared" si="2"/>
        <v>7108</v>
      </c>
      <c r="T20" s="11">
        <f>ROUND(N($E20)*Paramètres!$C$13,0)</f>
        <v>5322</v>
      </c>
      <c r="U20" s="11">
        <f>ROUND(MAX(0,N($E20)-(Q20-R20)-M20)*Paramètres!$C$12,0)</f>
        <v>1605</v>
      </c>
      <c r="V20" s="14">
        <f t="shared" si="3"/>
        <v>158918</v>
      </c>
    </row>
    <row r="21" spans="2:22" ht="17.25" customHeight="1" x14ac:dyDescent="0.35">
      <c r="B21" s="7">
        <v>15</v>
      </c>
      <c r="C21" s="8" t="s">
        <v>40</v>
      </c>
      <c r="D21" s="9">
        <v>46183</v>
      </c>
      <c r="E21" s="10">
        <v>0</v>
      </c>
      <c r="F21" s="11">
        <f>MIN(ROUNDDOWN(N($E21)*Paramètres!$C$16,0),Paramètres!$D$16)</f>
        <v>0</v>
      </c>
      <c r="G21" s="11">
        <f>MIN(ROUNDDOWN(N($E21)*Paramètres!$C$17,0),Paramètres!$D$17)</f>
        <v>0</v>
      </c>
      <c r="H21" s="11">
        <f>MIN(ROUNDDOWN(N($E21)*Paramètres!$C$18,0),Paramètres!$D$18)</f>
        <v>0</v>
      </c>
      <c r="I21" s="11">
        <f t="shared" si="0"/>
        <v>0</v>
      </c>
      <c r="J21" s="12">
        <v>0</v>
      </c>
      <c r="K21" s="13" t="str">
        <f>IF(I21&lt;Paramètres!$C$11,"Cadre inférieur","Cadre supérieur")</f>
        <v>Cadre inférieur</v>
      </c>
      <c r="L21" s="11">
        <f>MIN(F21,MIN(N($E21)*Paramètres!$C$16,Paramètres!$D$16))+MIN(G21,MIN(N($E21)*Paramètres!$C$17,Paramètres!$D$17))+MIN(H21,MIN(N($E21)*Paramètres!$C$18,Paramètres!$D$18))</f>
        <v>0</v>
      </c>
      <c r="M21" s="11">
        <f>MIN(N($E21),Paramètres!$C$7)*Paramètres!$C$6</f>
        <v>0</v>
      </c>
      <c r="N21" s="11">
        <f>MIN(M21,I21*Paramètres!$C$8)</f>
        <v>0</v>
      </c>
      <c r="O21" s="11">
        <f>I21*IF(K21="Cadre supérieur",Paramètres!$C$10,Paramètres!$C$9)</f>
        <v>0</v>
      </c>
      <c r="P21" s="11">
        <f t="shared" si="1"/>
        <v>0</v>
      </c>
      <c r="Q21" s="11">
        <f>SUMPRODUCT((P21&gt;Paramètres!$B$21:$B$27)*(P21-Paramètres!$B$21:$B$27)*Paramètres!$E$21:$E$27)</f>
        <v>0</v>
      </c>
      <c r="R21" s="11">
        <f>Q21*INDEX(Paramètres!$C$31:$C$38,MIN(MAX(INT(N(J21)),0),7)+1)</f>
        <v>0</v>
      </c>
      <c r="S21" s="14">
        <f t="shared" si="2"/>
        <v>0</v>
      </c>
      <c r="T21" s="11">
        <f>ROUND(N($E21)*Paramètres!$C$13,0)</f>
        <v>0</v>
      </c>
      <c r="U21" s="11">
        <f>ROUND(MAX(0,N($E21)-(Q21-R21)-M21)*Paramètres!$C$12,0)</f>
        <v>0</v>
      </c>
      <c r="V21" s="14">
        <f t="shared" si="3"/>
        <v>0</v>
      </c>
    </row>
    <row r="22" spans="2:22" ht="17.25" customHeight="1" x14ac:dyDescent="0.35">
      <c r="B22" s="7">
        <v>16</v>
      </c>
      <c r="C22" s="8" t="s">
        <v>41</v>
      </c>
      <c r="D22" s="9">
        <v>46139</v>
      </c>
      <c r="E22" s="10">
        <v>135983</v>
      </c>
      <c r="F22" s="11">
        <f>MIN(ROUNDDOWN(N($E22)*Paramètres!$C$16,0),Paramètres!$D$16)</f>
        <v>27196</v>
      </c>
      <c r="G22" s="11">
        <f>MIN(ROUNDDOWN(N($E22)*Paramètres!$C$17,0),Paramètres!$D$17)</f>
        <v>6799</v>
      </c>
      <c r="H22" s="11">
        <f>MIN(ROUNDDOWN(N($E22)*Paramètres!$C$18,0),Paramètres!$D$18)</f>
        <v>6799</v>
      </c>
      <c r="I22" s="11">
        <f t="shared" si="0"/>
        <v>95189</v>
      </c>
      <c r="J22" s="12">
        <v>0</v>
      </c>
      <c r="K22" s="13" t="str">
        <f>IF(I22&lt;Paramètres!$C$11,"Cadre inférieur","Cadre supérieur")</f>
        <v>Cadre inférieur</v>
      </c>
      <c r="L22" s="11">
        <f>MIN(F22,MIN(N($E22)*Paramètres!$C$16,Paramètres!$D$16))+MIN(G22,MIN(N($E22)*Paramètres!$C$17,Paramètres!$D$17))+MIN(H22,MIN(N($E22)*Paramètres!$C$18,Paramètres!$D$18))</f>
        <v>40794</v>
      </c>
      <c r="M22" s="11">
        <f>MIN(N($E22),Paramètres!$C$7)*Paramètres!$C$6</f>
        <v>7479.0649999999996</v>
      </c>
      <c r="N22" s="11">
        <f>MIN(M22,I22*Paramètres!$C$8)</f>
        <v>7479.0649999999996</v>
      </c>
      <c r="O22" s="11">
        <f>I22*IF(K22="Cadre supérieur",Paramètres!$C$10,Paramètres!$C$9)</f>
        <v>23797.25</v>
      </c>
      <c r="P22" s="11">
        <f t="shared" si="1"/>
        <v>63900</v>
      </c>
      <c r="Q22" s="11">
        <f>SUMPRODUCT((P22&gt;Paramètres!$B$21:$B$27)*(P22-Paramètres!$B$21:$B$27)*Paramètres!$E$21:$E$27)</f>
        <v>4352.0999999999995</v>
      </c>
      <c r="R22" s="11">
        <f>Q22*INDEX(Paramètres!$C$31:$C$38,MIN(MAX(INT(N(J22)),0),7)+1)</f>
        <v>0</v>
      </c>
      <c r="S22" s="14">
        <f t="shared" si="2"/>
        <v>4352</v>
      </c>
      <c r="T22" s="11">
        <f>ROUND(N($E22)*Paramètres!$C$13,0)</f>
        <v>4079</v>
      </c>
      <c r="U22" s="11">
        <f>ROUND(MAX(0,N($E22)-(Q22-R22)-M22)*Paramètres!$C$12,0)</f>
        <v>1242</v>
      </c>
      <c r="V22" s="14">
        <f t="shared" si="3"/>
        <v>122910</v>
      </c>
    </row>
    <row r="23" spans="2:22" s="16" customFormat="1" ht="17.25" customHeight="1" x14ac:dyDescent="0.35">
      <c r="B23" s="7">
        <v>17</v>
      </c>
      <c r="C23" s="8" t="s">
        <v>42</v>
      </c>
      <c r="D23" s="9">
        <v>45809</v>
      </c>
      <c r="E23" s="10">
        <v>135983</v>
      </c>
      <c r="F23" s="11">
        <f>MIN(ROUNDDOWN(N($E23)*Paramètres!$C$16,0),Paramètres!$D$16)</f>
        <v>27196</v>
      </c>
      <c r="G23" s="11">
        <f>MIN(ROUNDDOWN(N($E23)*Paramètres!$C$17,0),Paramètres!$D$17)</f>
        <v>6799</v>
      </c>
      <c r="H23" s="11">
        <f>MIN(ROUNDDOWN(N($E23)*Paramètres!$C$18,0),Paramètres!$D$18)</f>
        <v>6799</v>
      </c>
      <c r="I23" s="11">
        <f t="shared" si="0"/>
        <v>95189</v>
      </c>
      <c r="J23" s="12">
        <v>0</v>
      </c>
      <c r="K23" s="13" t="str">
        <f>IF(I23&lt;Paramètres!$C$11,"Cadre inférieur","Cadre supérieur")</f>
        <v>Cadre inférieur</v>
      </c>
      <c r="L23" s="11">
        <f>MIN(F23,MIN(N($E23)*Paramètres!$C$16,Paramètres!$D$16))+MIN(G23,MIN(N($E23)*Paramètres!$C$17,Paramètres!$D$17))+MIN(H23,MIN(N($E23)*Paramètres!$C$18,Paramètres!$D$18))</f>
        <v>40794</v>
      </c>
      <c r="M23" s="11">
        <f>MIN(N($E23),Paramètres!$C$7)*Paramètres!$C$6</f>
        <v>7479.0649999999996</v>
      </c>
      <c r="N23" s="11">
        <f>MIN(M23,I23*Paramètres!$C$8)</f>
        <v>7479.0649999999996</v>
      </c>
      <c r="O23" s="11">
        <f>I23*IF(K23="Cadre supérieur",Paramètres!$C$10,Paramètres!$C$9)</f>
        <v>23797.25</v>
      </c>
      <c r="P23" s="11">
        <f t="shared" si="1"/>
        <v>63900</v>
      </c>
      <c r="Q23" s="11">
        <f>SUMPRODUCT((P23&gt;Paramètres!$B$21:$B$27)*(P23-Paramètres!$B$21:$B$27)*Paramètres!$E$21:$E$27)</f>
        <v>4352.0999999999995</v>
      </c>
      <c r="R23" s="11">
        <f>Q23*INDEX(Paramètres!$C$31:$C$38,MIN(MAX(INT(N(J23)),0),7)+1)</f>
        <v>0</v>
      </c>
      <c r="S23" s="14">
        <f t="shared" si="2"/>
        <v>4352</v>
      </c>
      <c r="T23" s="11">
        <f>ROUND(N($E23)*Paramètres!$C$13,0)</f>
        <v>4079</v>
      </c>
      <c r="U23" s="11">
        <f>ROUND(MAX(0,N($E23)-(Q23-R23)-M23)*Paramètres!$C$12,0)</f>
        <v>1242</v>
      </c>
      <c r="V23" s="14">
        <f t="shared" si="3"/>
        <v>122910</v>
      </c>
    </row>
    <row r="24" spans="2:22" s="15" customFormat="1" ht="17.25" customHeight="1" x14ac:dyDescent="0.35">
      <c r="B24" s="7">
        <v>18</v>
      </c>
      <c r="C24" s="8" t="s">
        <v>43</v>
      </c>
      <c r="D24" s="9">
        <v>46174</v>
      </c>
      <c r="E24" s="10">
        <v>0</v>
      </c>
      <c r="F24" s="11">
        <f>MIN(ROUNDDOWN(N($E24)*Paramètres!$C$16,0),Paramètres!$D$16)</f>
        <v>0</v>
      </c>
      <c r="G24" s="11">
        <f>MIN(ROUNDDOWN(N($E24)*Paramètres!$C$17,0),Paramètres!$D$17)</f>
        <v>0</v>
      </c>
      <c r="H24" s="11">
        <f>MIN(ROUNDDOWN(N($E24)*Paramètres!$C$18,0),Paramètres!$D$18)</f>
        <v>0</v>
      </c>
      <c r="I24" s="11">
        <f t="shared" si="0"/>
        <v>0</v>
      </c>
      <c r="J24" s="12">
        <v>0</v>
      </c>
      <c r="K24" s="13" t="str">
        <f>IF(I24&lt;Paramètres!$C$11,"Cadre inférieur","Cadre supérieur")</f>
        <v>Cadre inférieur</v>
      </c>
      <c r="L24" s="11">
        <f>MIN(F24,MIN(N($E24)*Paramètres!$C$16,Paramètres!$D$16))+MIN(G24,MIN(N($E24)*Paramètres!$C$17,Paramètres!$D$17))+MIN(H24,MIN(N($E24)*Paramètres!$C$18,Paramètres!$D$18))</f>
        <v>0</v>
      </c>
      <c r="M24" s="11">
        <f>MIN(N($E24),Paramètres!$C$7)*Paramètres!$C$6</f>
        <v>0</v>
      </c>
      <c r="N24" s="11">
        <f>MIN(M24,I24*Paramètres!$C$8)</f>
        <v>0</v>
      </c>
      <c r="O24" s="11">
        <f>I24*IF(K24="Cadre supérieur",Paramètres!$C$10,Paramètres!$C$9)</f>
        <v>0</v>
      </c>
      <c r="P24" s="11">
        <f t="shared" si="1"/>
        <v>0</v>
      </c>
      <c r="Q24" s="11">
        <f>SUMPRODUCT((P24&gt;Paramètres!$B$21:$B$27)*(P24-Paramètres!$B$21:$B$27)*Paramètres!$E$21:$E$27)</f>
        <v>0</v>
      </c>
      <c r="R24" s="11">
        <f>Q24*INDEX(Paramètres!$C$31:$C$38,MIN(MAX(INT(N(J24)),0),7)+1)</f>
        <v>0</v>
      </c>
      <c r="S24" s="14">
        <f t="shared" si="2"/>
        <v>0</v>
      </c>
      <c r="T24" s="11">
        <f>ROUND(N($E24)*Paramètres!$C$13,0)</f>
        <v>0</v>
      </c>
      <c r="U24" s="11">
        <f>ROUND(MAX(0,N($E24)-(Q24-R24)-M24)*Paramètres!$C$12,0)</f>
        <v>0</v>
      </c>
      <c r="V24" s="14">
        <f t="shared" si="3"/>
        <v>0</v>
      </c>
    </row>
    <row r="25" spans="2:22" ht="17.25" customHeight="1" x14ac:dyDescent="0.35">
      <c r="B25" s="7">
        <v>19</v>
      </c>
      <c r="C25" s="8" t="s">
        <v>44</v>
      </c>
      <c r="D25" s="9">
        <v>45924</v>
      </c>
      <c r="E25" s="10">
        <v>0</v>
      </c>
      <c r="F25" s="11">
        <f>MIN(ROUNDDOWN(N($E25)*Paramètres!$C$16,0),Paramètres!$D$16)</f>
        <v>0</v>
      </c>
      <c r="G25" s="11">
        <f>MIN(ROUNDDOWN(N($E25)*Paramètres!$C$17,0),Paramètres!$D$17)</f>
        <v>0</v>
      </c>
      <c r="H25" s="11">
        <f>MIN(ROUNDDOWN(N($E25)*Paramètres!$C$18,0),Paramètres!$D$18)</f>
        <v>0</v>
      </c>
      <c r="I25" s="11">
        <f t="shared" si="0"/>
        <v>0</v>
      </c>
      <c r="J25" s="12">
        <v>0</v>
      </c>
      <c r="K25" s="13" t="str">
        <f>IF(I25&lt;Paramètres!$C$11,"Cadre inférieur","Cadre supérieur")</f>
        <v>Cadre inférieur</v>
      </c>
      <c r="L25" s="11">
        <f>MIN(F25,MIN(N($E25)*Paramètres!$C$16,Paramètres!$D$16))+MIN(G25,MIN(N($E25)*Paramètres!$C$17,Paramètres!$D$17))+MIN(H25,MIN(N($E25)*Paramètres!$C$18,Paramètres!$D$18))</f>
        <v>0</v>
      </c>
      <c r="M25" s="11">
        <f>MIN(N($E25),Paramètres!$C$7)*Paramètres!$C$6</f>
        <v>0</v>
      </c>
      <c r="N25" s="11">
        <f>MIN(M25,I25*Paramètres!$C$8)</f>
        <v>0</v>
      </c>
      <c r="O25" s="11">
        <f>I25*IF(K25="Cadre supérieur",Paramètres!$C$10,Paramètres!$C$9)</f>
        <v>0</v>
      </c>
      <c r="P25" s="11">
        <f t="shared" si="1"/>
        <v>0</v>
      </c>
      <c r="Q25" s="11">
        <f>SUMPRODUCT((P25&gt;Paramètres!$B$21:$B$27)*(P25-Paramètres!$B$21:$B$27)*Paramètres!$E$21:$E$27)</f>
        <v>0</v>
      </c>
      <c r="R25" s="11">
        <f>Q25*INDEX(Paramètres!$C$31:$C$38,MIN(MAX(INT(N(J25)),0),7)+1)</f>
        <v>0</v>
      </c>
      <c r="S25" s="14">
        <f t="shared" si="2"/>
        <v>0</v>
      </c>
      <c r="T25" s="11">
        <f>ROUND(N($E25)*Paramètres!$C$13,0)</f>
        <v>0</v>
      </c>
      <c r="U25" s="11">
        <f>ROUND(MAX(0,N($E25)-(Q25-R25)-M25)*Paramètres!$C$12,0)</f>
        <v>0</v>
      </c>
      <c r="V25" s="14">
        <f t="shared" si="3"/>
        <v>0</v>
      </c>
    </row>
    <row r="26" spans="2:22" ht="17.25" customHeight="1" x14ac:dyDescent="0.35">
      <c r="B26" s="7">
        <v>20</v>
      </c>
      <c r="C26" s="8" t="s">
        <v>45</v>
      </c>
      <c r="D26" s="9">
        <v>46216</v>
      </c>
      <c r="E26" s="10">
        <v>135983</v>
      </c>
      <c r="F26" s="11">
        <f>MIN(ROUNDDOWN(N($E26)*Paramètres!$C$16,0),Paramètres!$D$16)</f>
        <v>27196</v>
      </c>
      <c r="G26" s="11">
        <f>MIN(ROUNDDOWN(N($E26)*Paramètres!$C$17,0),Paramètres!$D$17)</f>
        <v>6799</v>
      </c>
      <c r="H26" s="11">
        <f>MIN(ROUNDDOWN(N($E26)*Paramètres!$C$18,0),Paramètres!$D$18)</f>
        <v>6799</v>
      </c>
      <c r="I26" s="11">
        <f t="shared" si="0"/>
        <v>95189</v>
      </c>
      <c r="J26" s="12">
        <v>0</v>
      </c>
      <c r="K26" s="13" t="str">
        <f>IF(I26&lt;Paramètres!$C$11,"Cadre inférieur","Cadre supérieur")</f>
        <v>Cadre inférieur</v>
      </c>
      <c r="L26" s="11">
        <f>MIN(F26,MIN(N($E26)*Paramètres!$C$16,Paramètres!$D$16))+MIN(G26,MIN(N($E26)*Paramètres!$C$17,Paramètres!$D$17))+MIN(H26,MIN(N($E26)*Paramètres!$C$18,Paramètres!$D$18))</f>
        <v>40794</v>
      </c>
      <c r="M26" s="11">
        <f>MIN(N($E26),Paramètres!$C$7)*Paramètres!$C$6</f>
        <v>7479.0649999999996</v>
      </c>
      <c r="N26" s="11">
        <f>MIN(M26,I26*Paramètres!$C$8)</f>
        <v>7479.0649999999996</v>
      </c>
      <c r="O26" s="11">
        <f>I26*IF(K26="Cadre supérieur",Paramètres!$C$10,Paramètres!$C$9)</f>
        <v>23797.25</v>
      </c>
      <c r="P26" s="11">
        <f t="shared" si="1"/>
        <v>63900</v>
      </c>
      <c r="Q26" s="11">
        <f>SUMPRODUCT((P26&gt;Paramètres!$B$21:$B$27)*(P26-Paramètres!$B$21:$B$27)*Paramètres!$E$21:$E$27)</f>
        <v>4352.0999999999995</v>
      </c>
      <c r="R26" s="11">
        <f>Q26*INDEX(Paramètres!$C$31:$C$38,MIN(MAX(INT(N(J26)),0),7)+1)</f>
        <v>0</v>
      </c>
      <c r="S26" s="14">
        <f t="shared" si="2"/>
        <v>4352</v>
      </c>
      <c r="T26" s="11">
        <f>ROUND(N($E26)*Paramètres!$C$13,0)</f>
        <v>4079</v>
      </c>
      <c r="U26" s="11">
        <f>ROUND(MAX(0,N($E26)-(Q26-R26)-M26)*Paramètres!$C$12,0)</f>
        <v>1242</v>
      </c>
      <c r="V26" s="14">
        <f t="shared" si="3"/>
        <v>122910</v>
      </c>
    </row>
    <row r="27" spans="2:22" ht="17.25" customHeight="1" x14ac:dyDescent="0.35">
      <c r="B27" s="7">
        <v>21</v>
      </c>
      <c r="C27" s="8" t="s">
        <v>46</v>
      </c>
      <c r="D27" s="9">
        <v>46000</v>
      </c>
      <c r="E27" s="10">
        <v>177387</v>
      </c>
      <c r="F27" s="11">
        <f>MIN(ROUNDDOWN(N($E27)*Paramètres!$C$16,0),Paramètres!$D$16)</f>
        <v>35477</v>
      </c>
      <c r="G27" s="11">
        <f>MIN(ROUNDDOWN(N($E27)*Paramètres!$C$17,0),Paramètres!$D$17)</f>
        <v>8869</v>
      </c>
      <c r="H27" s="11">
        <f>MIN(ROUNDDOWN(N($E27)*Paramètres!$C$18,0),Paramètres!$D$18)</f>
        <v>8869</v>
      </c>
      <c r="I27" s="11">
        <f t="shared" si="0"/>
        <v>124172</v>
      </c>
      <c r="J27" s="12">
        <v>0</v>
      </c>
      <c r="K27" s="13" t="str">
        <f>IF(I27&lt;Paramètres!$C$11,"Cadre inférieur","Cadre supérieur")</f>
        <v>Cadre inférieur</v>
      </c>
      <c r="L27" s="11">
        <f>MIN(F27,MIN(N($E27)*Paramètres!$C$16,Paramètres!$D$16))+MIN(G27,MIN(N($E27)*Paramètres!$C$17,Paramètres!$D$17))+MIN(H27,MIN(N($E27)*Paramètres!$C$18,Paramètres!$D$18))</f>
        <v>53215</v>
      </c>
      <c r="M27" s="11">
        <f>MIN(N($E27),Paramètres!$C$7)*Paramètres!$C$6</f>
        <v>9756.2849999999999</v>
      </c>
      <c r="N27" s="11">
        <f>MIN(M27,I27*Paramètres!$C$8)</f>
        <v>9756.2849999999999</v>
      </c>
      <c r="O27" s="11">
        <f>I27*IF(K27="Cadre supérieur",Paramètres!$C$10,Paramètres!$C$9)</f>
        <v>31043</v>
      </c>
      <c r="P27" s="11">
        <f t="shared" si="1"/>
        <v>83300</v>
      </c>
      <c r="Q27" s="11">
        <f>SUMPRODUCT((P27&gt;Paramètres!$B$21:$B$27)*(P27-Paramètres!$B$21:$B$27)*Paramètres!$E$21:$E$27)</f>
        <v>7108.1</v>
      </c>
      <c r="R27" s="11">
        <f>Q27*INDEX(Paramètres!$C$31:$C$38,MIN(MAX(INT(N(J27)),0),7)+1)</f>
        <v>0</v>
      </c>
      <c r="S27" s="14">
        <f t="shared" si="2"/>
        <v>7108</v>
      </c>
      <c r="T27" s="11">
        <f>ROUND(N($E27)*Paramètres!$C$13,0)</f>
        <v>5322</v>
      </c>
      <c r="U27" s="11">
        <f>ROUND(MAX(0,N($E27)-(Q27-R27)-M27)*Paramètres!$C$12,0)</f>
        <v>1605</v>
      </c>
      <c r="V27" s="14">
        <f t="shared" si="3"/>
        <v>158918</v>
      </c>
    </row>
    <row r="28" spans="2:22" ht="17.25" customHeight="1" x14ac:dyDescent="0.35">
      <c r="B28" s="7">
        <v>22</v>
      </c>
      <c r="C28" s="17" t="s">
        <v>47</v>
      </c>
      <c r="D28" s="9">
        <v>46283</v>
      </c>
      <c r="E28" s="10">
        <v>0</v>
      </c>
      <c r="F28" s="11">
        <f>MIN(ROUNDDOWN(N($E28)*Paramètres!$C$16,0),Paramètres!$D$16)</f>
        <v>0</v>
      </c>
      <c r="G28" s="11">
        <f>MIN(ROUNDDOWN(N($E28)*Paramètres!$C$17,0),Paramètres!$D$17)</f>
        <v>0</v>
      </c>
      <c r="H28" s="11">
        <f>MIN(ROUNDDOWN(N($E28)*Paramètres!$C$18,0),Paramètres!$D$18)</f>
        <v>0</v>
      </c>
      <c r="I28" s="11">
        <f t="shared" si="0"/>
        <v>0</v>
      </c>
      <c r="J28" s="12">
        <v>0</v>
      </c>
      <c r="K28" s="13" t="str">
        <f>IF(I28&lt;Paramètres!$C$11,"Cadre inférieur","Cadre supérieur")</f>
        <v>Cadre inférieur</v>
      </c>
      <c r="L28" s="11">
        <f>MIN(F28,MIN(N($E28)*Paramètres!$C$16,Paramètres!$D$16))+MIN(G28,MIN(N($E28)*Paramètres!$C$17,Paramètres!$D$17))+MIN(H28,MIN(N($E28)*Paramètres!$C$18,Paramètres!$D$18))</f>
        <v>0</v>
      </c>
      <c r="M28" s="11">
        <f>MIN(N($E28),Paramètres!$C$7)*Paramètres!$C$6</f>
        <v>0</v>
      </c>
      <c r="N28" s="11">
        <f>MIN(M28,I28*Paramètres!$C$8)</f>
        <v>0</v>
      </c>
      <c r="O28" s="11">
        <f>I28*IF(K28="Cadre supérieur",Paramètres!$C$10,Paramètres!$C$9)</f>
        <v>0</v>
      </c>
      <c r="P28" s="11">
        <f t="shared" si="1"/>
        <v>0</v>
      </c>
      <c r="Q28" s="11">
        <f>SUMPRODUCT((P28&gt;Paramètres!$B$21:$B$27)*(P28-Paramètres!$B$21:$B$27)*Paramètres!$E$21:$E$27)</f>
        <v>0</v>
      </c>
      <c r="R28" s="11">
        <f>Q28*INDEX(Paramètres!$C$31:$C$38,MIN(MAX(INT(N(J28)),0),7)+1)</f>
        <v>0</v>
      </c>
      <c r="S28" s="14">
        <f t="shared" si="2"/>
        <v>0</v>
      </c>
      <c r="T28" s="11">
        <f>ROUND(N($E28)*Paramètres!$C$13,0)</f>
        <v>0</v>
      </c>
      <c r="U28" s="11">
        <f>ROUND(MAX(0,N($E28)-(Q28-R28)-M28)*Paramètres!$C$12,0)</f>
        <v>0</v>
      </c>
      <c r="V28" s="14">
        <f t="shared" si="3"/>
        <v>0</v>
      </c>
    </row>
    <row r="29" spans="2:22" ht="17.25" customHeight="1" x14ac:dyDescent="0.35">
      <c r="B29" s="7">
        <v>23</v>
      </c>
      <c r="C29" s="8" t="s">
        <v>48</v>
      </c>
      <c r="D29" s="9">
        <v>46204</v>
      </c>
      <c r="E29" s="10">
        <v>231913</v>
      </c>
      <c r="F29" s="11">
        <f>MIN(ROUNDDOWN(N($E29)*Paramètres!$C$16,0),Paramètres!$D$16)</f>
        <v>46382</v>
      </c>
      <c r="G29" s="11">
        <f>MIN(ROUNDDOWN(N($E29)*Paramètres!$C$17,0),Paramètres!$D$17)</f>
        <v>11595</v>
      </c>
      <c r="H29" s="11">
        <f>MIN(ROUNDDOWN(N($E29)*Paramètres!$C$18,0),Paramètres!$D$18)</f>
        <v>11595</v>
      </c>
      <c r="I29" s="11">
        <f t="shared" si="0"/>
        <v>162341</v>
      </c>
      <c r="J29" s="12">
        <v>0</v>
      </c>
      <c r="K29" s="13" t="str">
        <f>IF(I29&lt;Paramètres!$C$11,"Cadre inférieur","Cadre supérieur")</f>
        <v>Cadre supérieur</v>
      </c>
      <c r="L29" s="11">
        <f>MIN(F29,MIN(N($E29)*Paramètres!$C$16,Paramètres!$D$16))+MIN(G29,MIN(N($E29)*Paramètres!$C$17,Paramètres!$D$17))+MIN(H29,MIN(N($E29)*Paramètres!$C$18,Paramètres!$D$18))</f>
        <v>69572</v>
      </c>
      <c r="M29" s="11">
        <f>MIN(N($E29),Paramètres!$C$7)*Paramètres!$C$6</f>
        <v>12755.215</v>
      </c>
      <c r="N29" s="11">
        <f>MIN(M29,I29*Paramètres!$C$8)</f>
        <v>12755.215</v>
      </c>
      <c r="O29" s="11">
        <f>I29*IF(K29="Cadre supérieur",Paramètres!$C$10,Paramètres!$C$9)</f>
        <v>32468.2</v>
      </c>
      <c r="P29" s="11">
        <f t="shared" si="1"/>
        <v>117100</v>
      </c>
      <c r="Q29" s="11">
        <f>SUMPRODUCT((P29&gt;Paramètres!$B$21:$B$27)*(P29-Paramètres!$B$21:$B$27)*Paramètres!$E$21:$E$27)</f>
        <v>12414.7</v>
      </c>
      <c r="R29" s="11">
        <f>Q29*INDEX(Paramètres!$C$31:$C$38,MIN(MAX(INT(N(J29)),0),7)+1)</f>
        <v>0</v>
      </c>
      <c r="S29" s="14">
        <f t="shared" si="2"/>
        <v>12415</v>
      </c>
      <c r="T29" s="11">
        <f>ROUND(N($E29)*Paramètres!$C$13,0)</f>
        <v>6957</v>
      </c>
      <c r="U29" s="11">
        <f>ROUND(MAX(0,N($E29)-(Q29-R29)-M29)*Paramètres!$C$12,0)</f>
        <v>2067</v>
      </c>
      <c r="V29" s="14">
        <f t="shared" si="3"/>
        <v>204676</v>
      </c>
    </row>
    <row r="30" spans="2:22" ht="17.25" customHeight="1" x14ac:dyDescent="0.35">
      <c r="B30" s="7">
        <v>24</v>
      </c>
      <c r="C30" s="8" t="s">
        <v>49</v>
      </c>
      <c r="D30" s="18" t="s">
        <v>50</v>
      </c>
      <c r="E30" s="10">
        <v>0</v>
      </c>
      <c r="F30" s="11">
        <f>MIN(ROUNDDOWN(N($E30)*Paramètres!$C$16,0),Paramètres!$D$16)</f>
        <v>0</v>
      </c>
      <c r="G30" s="11">
        <f>MIN(ROUNDDOWN(N($E30)*Paramètres!$C$17,0),Paramètres!$D$17)</f>
        <v>0</v>
      </c>
      <c r="H30" s="11">
        <f>MIN(ROUNDDOWN(N($E30)*Paramètres!$C$18,0),Paramètres!$D$18)</f>
        <v>0</v>
      </c>
      <c r="I30" s="11">
        <f t="shared" si="0"/>
        <v>0</v>
      </c>
      <c r="J30" s="12">
        <v>0</v>
      </c>
      <c r="K30" s="13" t="str">
        <f>IF(I30&lt;Paramètres!$C$11,"Cadre inférieur","Cadre supérieur")</f>
        <v>Cadre inférieur</v>
      </c>
      <c r="L30" s="11">
        <f>MIN(F30,MIN(N($E30)*Paramètres!$C$16,Paramètres!$D$16))+MIN(G30,MIN(N($E30)*Paramètres!$C$17,Paramètres!$D$17))+MIN(H30,MIN(N($E30)*Paramètres!$C$18,Paramètres!$D$18))</f>
        <v>0</v>
      </c>
      <c r="M30" s="11">
        <f>MIN(N($E30),Paramètres!$C$7)*Paramètres!$C$6</f>
        <v>0</v>
      </c>
      <c r="N30" s="11">
        <f>MIN(M30,I30*Paramètres!$C$8)</f>
        <v>0</v>
      </c>
      <c r="O30" s="11">
        <f>I30*IF(K30="Cadre supérieur",Paramètres!$C$10,Paramètres!$C$9)</f>
        <v>0</v>
      </c>
      <c r="P30" s="11">
        <f t="shared" si="1"/>
        <v>0</v>
      </c>
      <c r="Q30" s="11">
        <f>SUMPRODUCT((P30&gt;Paramètres!$B$21:$B$27)*(P30-Paramètres!$B$21:$B$27)*Paramètres!$E$21:$E$27)</f>
        <v>0</v>
      </c>
      <c r="R30" s="11">
        <f>Q30*INDEX(Paramètres!$C$31:$C$38,MIN(MAX(INT(N(J30)),0),7)+1)</f>
        <v>0</v>
      </c>
      <c r="S30" s="14">
        <f t="shared" si="2"/>
        <v>0</v>
      </c>
      <c r="T30" s="11">
        <f>ROUND(N($E30)*Paramètres!$C$13,0)</f>
        <v>0</v>
      </c>
      <c r="U30" s="11">
        <f>ROUND(MAX(0,N($E30)-(Q30-R30)-M30)*Paramètres!$C$12,0)</f>
        <v>0</v>
      </c>
      <c r="V30" s="14">
        <f t="shared" si="3"/>
        <v>0</v>
      </c>
    </row>
    <row r="31" spans="2:22" ht="17.25" customHeight="1" x14ac:dyDescent="0.35">
      <c r="B31" s="7">
        <v>25</v>
      </c>
      <c r="C31" s="8" t="s">
        <v>51</v>
      </c>
      <c r="D31" s="9">
        <v>45778</v>
      </c>
      <c r="E31" s="10">
        <v>165340</v>
      </c>
      <c r="F31" s="11">
        <f>MIN(ROUNDDOWN(N($E31)*Paramètres!$C$16,0),Paramètres!$D$16)</f>
        <v>33068</v>
      </c>
      <c r="G31" s="11">
        <f>MIN(ROUNDDOWN(N($E31)*Paramètres!$C$17,0),Paramètres!$D$17)</f>
        <v>8267</v>
      </c>
      <c r="H31" s="11">
        <f>MIN(ROUNDDOWN(N($E31)*Paramètres!$C$18,0),Paramètres!$D$18)</f>
        <v>8267</v>
      </c>
      <c r="I31" s="11">
        <f t="shared" si="0"/>
        <v>115738</v>
      </c>
      <c r="J31" s="12">
        <v>0</v>
      </c>
      <c r="K31" s="13" t="str">
        <f>IF(I31&lt;Paramètres!$C$11,"Cadre inférieur","Cadre supérieur")</f>
        <v>Cadre inférieur</v>
      </c>
      <c r="L31" s="11">
        <f>MIN(F31,MIN(N($E31)*Paramètres!$C$16,Paramètres!$D$16))+MIN(G31,MIN(N($E31)*Paramètres!$C$17,Paramètres!$D$17))+MIN(H31,MIN(N($E31)*Paramètres!$C$18,Paramètres!$D$18))</f>
        <v>49602</v>
      </c>
      <c r="M31" s="11">
        <f>MIN(N($E31),Paramètres!$C$7)*Paramètres!$C$6</f>
        <v>9093.7000000000007</v>
      </c>
      <c r="N31" s="11">
        <f>MIN(M31,I31*Paramètres!$C$8)</f>
        <v>9093.7000000000007</v>
      </c>
      <c r="O31" s="11">
        <f>I31*IF(K31="Cadre supérieur",Paramètres!$C$10,Paramètres!$C$9)</f>
        <v>28934.5</v>
      </c>
      <c r="P31" s="11">
        <f t="shared" si="1"/>
        <v>77700</v>
      </c>
      <c r="Q31" s="11">
        <f>SUMPRODUCT((P31&gt;Paramètres!$B$21:$B$27)*(P31-Paramètres!$B$21:$B$27)*Paramètres!$E$21:$E$27)</f>
        <v>6270.3</v>
      </c>
      <c r="R31" s="11">
        <f>Q31*INDEX(Paramètres!$C$31:$C$38,MIN(MAX(INT(N(J31)),0),7)+1)</f>
        <v>0</v>
      </c>
      <c r="S31" s="14">
        <f t="shared" si="2"/>
        <v>6270</v>
      </c>
      <c r="T31" s="11">
        <f>ROUND(N($E31)*Paramètres!$C$13,0)</f>
        <v>4960</v>
      </c>
      <c r="U31" s="11">
        <f>ROUND(MAX(0,N($E31)-(Q31-R31)-M31)*Paramètres!$C$12,0)</f>
        <v>1500</v>
      </c>
      <c r="V31" s="14">
        <f t="shared" si="3"/>
        <v>148476</v>
      </c>
    </row>
    <row r="32" spans="2:22" ht="17.25" customHeight="1" x14ac:dyDescent="0.35">
      <c r="B32" s="7">
        <v>26</v>
      </c>
      <c r="C32" s="8" t="s">
        <v>52</v>
      </c>
      <c r="D32" s="9">
        <v>46183</v>
      </c>
      <c r="E32" s="10">
        <v>80000</v>
      </c>
      <c r="F32" s="11">
        <f>MIN(ROUNDDOWN(N($E32)*Paramètres!$C$16,0),Paramètres!$D$16)</f>
        <v>16000</v>
      </c>
      <c r="G32" s="11">
        <f>MIN(ROUNDDOWN(N($E32)*Paramètres!$C$17,0),Paramètres!$D$17)</f>
        <v>4000</v>
      </c>
      <c r="H32" s="11">
        <f>MIN(ROUNDDOWN(N($E32)*Paramètres!$C$18,0),Paramètres!$D$18)</f>
        <v>4000</v>
      </c>
      <c r="I32" s="11">
        <f t="shared" si="0"/>
        <v>56000</v>
      </c>
      <c r="J32" s="12">
        <v>0</v>
      </c>
      <c r="K32" s="13" t="str">
        <f>IF(I32&lt;Paramètres!$C$11,"Cadre inférieur","Cadre supérieur")</f>
        <v>Cadre inférieur</v>
      </c>
      <c r="L32" s="11">
        <f>MIN(F32,MIN(N($E32)*Paramètres!$C$16,Paramètres!$D$16))+MIN(G32,MIN(N($E32)*Paramètres!$C$17,Paramètres!$D$17))+MIN(H32,MIN(N($E32)*Paramètres!$C$18,Paramètres!$D$18))</f>
        <v>24000</v>
      </c>
      <c r="M32" s="11">
        <f>MIN(N($E32),Paramètres!$C$7)*Paramètres!$C$6</f>
        <v>4400</v>
      </c>
      <c r="N32" s="11">
        <f>MIN(M32,I32*Paramètres!$C$8)</f>
        <v>4400</v>
      </c>
      <c r="O32" s="11">
        <f>I32*IF(K32="Cadre supérieur",Paramètres!$C$10,Paramètres!$C$9)</f>
        <v>14000</v>
      </c>
      <c r="P32" s="11">
        <f t="shared" si="1"/>
        <v>37600</v>
      </c>
      <c r="Q32" s="11">
        <f>SUMPRODUCT((P32&gt;Paramètres!$B$21:$B$27)*(P32-Paramètres!$B$21:$B$27)*Paramètres!$E$21:$E$27)</f>
        <v>919.6</v>
      </c>
      <c r="R32" s="11">
        <f>Q32*INDEX(Paramètres!$C$31:$C$38,MIN(MAX(INT(N(J32)),0),7)+1)</f>
        <v>0</v>
      </c>
      <c r="S32" s="14">
        <f t="shared" si="2"/>
        <v>920</v>
      </c>
      <c r="T32" s="11">
        <f>ROUND(N($E32)*Paramètres!$C$13,0)</f>
        <v>2400</v>
      </c>
      <c r="U32" s="11">
        <f>ROUND(MAX(0,N($E32)-(Q32-R32)-M32)*Paramètres!$C$12,0)</f>
        <v>747</v>
      </c>
      <c r="V32" s="14">
        <f t="shared" si="3"/>
        <v>73933</v>
      </c>
    </row>
    <row r="33" spans="2:22" ht="17.25" customHeight="1" x14ac:dyDescent="0.35">
      <c r="B33" s="7">
        <v>27</v>
      </c>
      <c r="C33" s="8" t="s">
        <v>53</v>
      </c>
      <c r="D33" s="9"/>
      <c r="E33" s="10">
        <v>346515</v>
      </c>
      <c r="F33" s="11">
        <f>MIN(ROUNDDOWN(N($E33)*Paramètres!$C$16,0),Paramètres!$D$16)</f>
        <v>69303</v>
      </c>
      <c r="G33" s="11">
        <f>MIN(ROUNDDOWN(N($E33)*Paramètres!$C$17,0),Paramètres!$D$17)</f>
        <v>17325</v>
      </c>
      <c r="H33" s="11">
        <f>MIN(ROUNDDOWN(N($E33)*Paramètres!$C$18,0),Paramètres!$D$18)</f>
        <v>17325</v>
      </c>
      <c r="I33" s="11">
        <f t="shared" si="0"/>
        <v>242562</v>
      </c>
      <c r="J33" s="12">
        <v>0</v>
      </c>
      <c r="K33" s="13" t="str">
        <f>IF(I33&lt;Paramètres!$C$11,"Cadre inférieur","Cadre supérieur")</f>
        <v>Cadre supérieur</v>
      </c>
      <c r="L33" s="11">
        <f>MIN(F33,MIN(N($E33)*Paramètres!$C$16,Paramètres!$D$16))+MIN(G33,MIN(N($E33)*Paramètres!$C$17,Paramètres!$D$17))+MIN(H33,MIN(N($E33)*Paramètres!$C$18,Paramètres!$D$18))</f>
        <v>103953</v>
      </c>
      <c r="M33" s="11">
        <f>MIN(N($E33),Paramètres!$C$7)*Paramètres!$C$6</f>
        <v>19058.325000000001</v>
      </c>
      <c r="N33" s="11">
        <f>MIN(M33,I33*Paramètres!$C$8)</f>
        <v>19058.325000000001</v>
      </c>
      <c r="O33" s="11">
        <f>I33*IF(K33="Cadre supérieur",Paramètres!$C$10,Paramètres!$C$9)</f>
        <v>48512.4</v>
      </c>
      <c r="P33" s="11">
        <f t="shared" si="1"/>
        <v>174900</v>
      </c>
      <c r="Q33" s="11">
        <f>SUMPRODUCT((P33&gt;Paramètres!$B$21:$B$27)*(P33-Paramètres!$B$21:$B$27)*Paramètres!$E$21:$E$27)</f>
        <v>23133.299999999996</v>
      </c>
      <c r="R33" s="11">
        <f>Q33*INDEX(Paramètres!$C$31:$C$38,MIN(MAX(INT(N(J33)),0),7)+1)</f>
        <v>0</v>
      </c>
      <c r="S33" s="14">
        <f t="shared" si="2"/>
        <v>23133</v>
      </c>
      <c r="T33" s="11">
        <f>ROUND(N($E33)*Paramètres!$C$13,0)</f>
        <v>10395</v>
      </c>
      <c r="U33" s="11">
        <f>ROUND(MAX(0,N($E33)-(Q33-R33)-M33)*Paramètres!$C$12,0)</f>
        <v>3043</v>
      </c>
      <c r="V33" s="14">
        <f t="shared" si="3"/>
        <v>301281</v>
      </c>
    </row>
    <row r="34" spans="2:22" s="15" customFormat="1" ht="17.25" customHeight="1" x14ac:dyDescent="0.35">
      <c r="B34" s="7">
        <v>28</v>
      </c>
      <c r="C34" s="8" t="s">
        <v>54</v>
      </c>
      <c r="D34" s="9">
        <v>45965</v>
      </c>
      <c r="E34" s="10">
        <v>0</v>
      </c>
      <c r="F34" s="11">
        <f>MIN(ROUNDDOWN(N($E34)*Paramètres!$C$16,0),Paramètres!$D$16)</f>
        <v>0</v>
      </c>
      <c r="G34" s="11">
        <f>MIN(ROUNDDOWN(N($E34)*Paramètres!$C$17,0),Paramètres!$D$17)</f>
        <v>0</v>
      </c>
      <c r="H34" s="11">
        <f>MIN(ROUNDDOWN(N($E34)*Paramètres!$C$18,0),Paramètres!$D$18)</f>
        <v>0</v>
      </c>
      <c r="I34" s="11">
        <f t="shared" si="0"/>
        <v>0</v>
      </c>
      <c r="J34" s="12">
        <v>0</v>
      </c>
      <c r="K34" s="13" t="str">
        <f>IF(I34&lt;Paramètres!$C$11,"Cadre inférieur","Cadre supérieur")</f>
        <v>Cadre inférieur</v>
      </c>
      <c r="L34" s="11">
        <f>MIN(F34,MIN(N($E34)*Paramètres!$C$16,Paramètres!$D$16))+MIN(G34,MIN(N($E34)*Paramètres!$C$17,Paramètres!$D$17))+MIN(H34,MIN(N($E34)*Paramètres!$C$18,Paramètres!$D$18))</f>
        <v>0</v>
      </c>
      <c r="M34" s="11">
        <f>MIN(N($E34),Paramètres!$C$7)*Paramètres!$C$6</f>
        <v>0</v>
      </c>
      <c r="N34" s="11">
        <f>MIN(M34,I34*Paramètres!$C$8)</f>
        <v>0</v>
      </c>
      <c r="O34" s="11">
        <f>I34*IF(K34="Cadre supérieur",Paramètres!$C$10,Paramètres!$C$9)</f>
        <v>0</v>
      </c>
      <c r="P34" s="11">
        <f t="shared" si="1"/>
        <v>0</v>
      </c>
      <c r="Q34" s="11">
        <f>SUMPRODUCT((P34&gt;Paramètres!$B$21:$B$27)*(P34-Paramètres!$B$21:$B$27)*Paramètres!$E$21:$E$27)</f>
        <v>0</v>
      </c>
      <c r="R34" s="11">
        <f>Q34*INDEX(Paramètres!$C$31:$C$38,MIN(MAX(INT(N(J34)),0),7)+1)</f>
        <v>0</v>
      </c>
      <c r="S34" s="14">
        <f t="shared" si="2"/>
        <v>0</v>
      </c>
      <c r="T34" s="11">
        <f>ROUND(N($E34)*Paramètres!$C$13,0)</f>
        <v>0</v>
      </c>
      <c r="U34" s="11">
        <f>ROUND(MAX(0,N($E34)-(Q34-R34)-M34)*Paramètres!$C$12,0)</f>
        <v>0</v>
      </c>
      <c r="V34" s="14">
        <f t="shared" si="3"/>
        <v>0</v>
      </c>
    </row>
    <row r="35" spans="2:22" ht="17.25" customHeight="1" x14ac:dyDescent="0.35">
      <c r="B35" s="7">
        <v>29</v>
      </c>
      <c r="C35" s="8" t="s">
        <v>55</v>
      </c>
      <c r="D35" s="9">
        <v>46092</v>
      </c>
      <c r="E35" s="10">
        <v>165340</v>
      </c>
      <c r="F35" s="11">
        <f>MIN(ROUNDDOWN(N($E35)*Paramètres!$C$16,0),Paramètres!$D$16)</f>
        <v>33068</v>
      </c>
      <c r="G35" s="11">
        <f>MIN(ROUNDDOWN(N($E35)*Paramètres!$C$17,0),Paramètres!$D$17)</f>
        <v>8267</v>
      </c>
      <c r="H35" s="11">
        <f>MIN(ROUNDDOWN(N($E35)*Paramètres!$C$18,0),Paramètres!$D$18)</f>
        <v>8267</v>
      </c>
      <c r="I35" s="11">
        <f t="shared" si="0"/>
        <v>115738</v>
      </c>
      <c r="J35" s="12">
        <v>0</v>
      </c>
      <c r="K35" s="13" t="str">
        <f>IF(I35&lt;Paramètres!$C$11,"Cadre inférieur","Cadre supérieur")</f>
        <v>Cadre inférieur</v>
      </c>
      <c r="L35" s="11">
        <f>MIN(F35,MIN(N($E35)*Paramètres!$C$16,Paramètres!$D$16))+MIN(G35,MIN(N($E35)*Paramètres!$C$17,Paramètres!$D$17))+MIN(H35,MIN(N($E35)*Paramètres!$C$18,Paramètres!$D$18))</f>
        <v>49602</v>
      </c>
      <c r="M35" s="11">
        <f>MIN(N($E35),Paramètres!$C$7)*Paramètres!$C$6</f>
        <v>9093.7000000000007</v>
      </c>
      <c r="N35" s="11">
        <f>MIN(M35,I35*Paramètres!$C$8)</f>
        <v>9093.7000000000007</v>
      </c>
      <c r="O35" s="11">
        <f>I35*IF(K35="Cadre supérieur",Paramètres!$C$10,Paramètres!$C$9)</f>
        <v>28934.5</v>
      </c>
      <c r="P35" s="11">
        <f t="shared" si="1"/>
        <v>77700</v>
      </c>
      <c r="Q35" s="11">
        <f>SUMPRODUCT((P35&gt;Paramètres!$B$21:$B$27)*(P35-Paramètres!$B$21:$B$27)*Paramètres!$E$21:$E$27)</f>
        <v>6270.3</v>
      </c>
      <c r="R35" s="11">
        <f>Q35*INDEX(Paramètres!$C$31:$C$38,MIN(MAX(INT(N(J35)),0),7)+1)</f>
        <v>0</v>
      </c>
      <c r="S35" s="14">
        <f t="shared" si="2"/>
        <v>6270</v>
      </c>
      <c r="T35" s="11">
        <f>ROUND(N($E35)*Paramètres!$C$13,0)</f>
        <v>4960</v>
      </c>
      <c r="U35" s="11">
        <f>ROUND(MAX(0,N($E35)-(Q35-R35)-M35)*Paramètres!$C$12,0)</f>
        <v>1500</v>
      </c>
      <c r="V35" s="14">
        <f t="shared" si="3"/>
        <v>148476</v>
      </c>
    </row>
    <row r="36" spans="2:22" ht="17.25" customHeight="1" x14ac:dyDescent="0.35">
      <c r="B36" s="7">
        <v>30</v>
      </c>
      <c r="C36" s="8" t="s">
        <v>56</v>
      </c>
      <c r="D36" s="9"/>
      <c r="E36" s="10">
        <v>195448</v>
      </c>
      <c r="F36" s="11">
        <f>MIN(ROUNDDOWN(N($E36)*Paramètres!$C$16,0),Paramètres!$D$16)</f>
        <v>39089</v>
      </c>
      <c r="G36" s="11">
        <f>MIN(ROUNDDOWN(N($E36)*Paramètres!$C$17,0),Paramètres!$D$17)</f>
        <v>9772</v>
      </c>
      <c r="H36" s="11">
        <f>MIN(ROUNDDOWN(N($E36)*Paramètres!$C$18,0),Paramètres!$D$18)</f>
        <v>9772</v>
      </c>
      <c r="I36" s="11">
        <f t="shared" si="0"/>
        <v>136815</v>
      </c>
      <c r="J36" s="12">
        <v>0</v>
      </c>
      <c r="K36" s="13" t="str">
        <f>IF(I36&lt;Paramètres!$C$11,"Cadre inférieur","Cadre supérieur")</f>
        <v>Cadre inférieur</v>
      </c>
      <c r="L36" s="11">
        <f>MIN(F36,MIN(N($E36)*Paramètres!$C$16,Paramètres!$D$16))+MIN(G36,MIN(N($E36)*Paramètres!$C$17,Paramètres!$D$17))+MIN(H36,MIN(N($E36)*Paramètres!$C$18,Paramètres!$D$18))</f>
        <v>58633</v>
      </c>
      <c r="M36" s="11">
        <f>MIN(N($E36),Paramètres!$C$7)*Paramètres!$C$6</f>
        <v>10749.64</v>
      </c>
      <c r="N36" s="11">
        <f>MIN(M36,I36*Paramètres!$C$8)</f>
        <v>10749.64</v>
      </c>
      <c r="O36" s="11">
        <f>I36*IF(K36="Cadre supérieur",Paramètres!$C$10,Paramètres!$C$9)</f>
        <v>34203.75</v>
      </c>
      <c r="P36" s="11">
        <f t="shared" si="1"/>
        <v>91800</v>
      </c>
      <c r="Q36" s="11">
        <f>SUMPRODUCT((P36&gt;Paramètres!$B$21:$B$27)*(P36-Paramètres!$B$21:$B$27)*Paramètres!$E$21:$E$27)</f>
        <v>8442.6</v>
      </c>
      <c r="R36" s="11">
        <f>Q36*INDEX(Paramètres!$C$31:$C$38,MIN(MAX(INT(N(J36)),0),7)+1)</f>
        <v>0</v>
      </c>
      <c r="S36" s="14">
        <f t="shared" si="2"/>
        <v>8443</v>
      </c>
      <c r="T36" s="11">
        <f>ROUND(N($E36)*Paramètres!$C$13,0)</f>
        <v>5863</v>
      </c>
      <c r="U36" s="11">
        <f>ROUND(MAX(0,N($E36)-(Q36-R36)-M36)*Paramètres!$C$12,0)</f>
        <v>1763</v>
      </c>
      <c r="V36" s="14">
        <f t="shared" si="3"/>
        <v>174492</v>
      </c>
    </row>
    <row r="37" spans="2:22" ht="17.25" customHeight="1" x14ac:dyDescent="0.35">
      <c r="B37" s="7">
        <v>31</v>
      </c>
      <c r="C37" s="17" t="s">
        <v>57</v>
      </c>
      <c r="D37" s="9">
        <v>46275</v>
      </c>
      <c r="E37" s="10">
        <v>0</v>
      </c>
      <c r="F37" s="11">
        <f>MIN(ROUNDDOWN(N($E37)*Paramètres!$C$16,0),Paramètres!$D$16)</f>
        <v>0</v>
      </c>
      <c r="G37" s="11">
        <f>MIN(ROUNDDOWN(N($E37)*Paramètres!$C$17,0),Paramètres!$D$17)</f>
        <v>0</v>
      </c>
      <c r="H37" s="11">
        <f>MIN(ROUNDDOWN(N($E37)*Paramètres!$C$18,0),Paramètres!$D$18)</f>
        <v>0</v>
      </c>
      <c r="I37" s="11">
        <f t="shared" si="0"/>
        <v>0</v>
      </c>
      <c r="J37" s="12">
        <v>0</v>
      </c>
      <c r="K37" s="13" t="str">
        <f>IF(I37&lt;Paramètres!$C$11,"Cadre inférieur","Cadre supérieur")</f>
        <v>Cadre inférieur</v>
      </c>
      <c r="L37" s="11">
        <f>MIN(F37,MIN(N($E37)*Paramètres!$C$16,Paramètres!$D$16))+MIN(G37,MIN(N($E37)*Paramètres!$C$17,Paramètres!$D$17))+MIN(H37,MIN(N($E37)*Paramètres!$C$18,Paramètres!$D$18))</f>
        <v>0</v>
      </c>
      <c r="M37" s="11">
        <f>MIN(N($E37),Paramètres!$C$7)*Paramètres!$C$6</f>
        <v>0</v>
      </c>
      <c r="N37" s="11">
        <f>MIN(M37,I37*Paramètres!$C$8)</f>
        <v>0</v>
      </c>
      <c r="O37" s="11">
        <f>I37*IF(K37="Cadre supérieur",Paramètres!$C$10,Paramètres!$C$9)</f>
        <v>0</v>
      </c>
      <c r="P37" s="11">
        <f t="shared" si="1"/>
        <v>0</v>
      </c>
      <c r="Q37" s="11">
        <f>SUMPRODUCT((P37&gt;Paramètres!$B$21:$B$27)*(P37-Paramètres!$B$21:$B$27)*Paramètres!$E$21:$E$27)</f>
        <v>0</v>
      </c>
      <c r="R37" s="11">
        <f>Q37*INDEX(Paramètres!$C$31:$C$38,MIN(MAX(INT(N(J37)),0),7)+1)</f>
        <v>0</v>
      </c>
      <c r="S37" s="14">
        <f t="shared" si="2"/>
        <v>0</v>
      </c>
      <c r="T37" s="11">
        <f>ROUND(N($E37)*Paramètres!$C$13,0)</f>
        <v>0</v>
      </c>
      <c r="U37" s="11">
        <f>ROUND(MAX(0,N($E37)-(Q37-R37)-M37)*Paramètres!$C$12,0)</f>
        <v>0</v>
      </c>
      <c r="V37" s="14">
        <f t="shared" si="3"/>
        <v>0</v>
      </c>
    </row>
    <row r="38" spans="2:22" ht="17.25" customHeight="1" x14ac:dyDescent="0.35">
      <c r="B38" s="7">
        <v>32</v>
      </c>
      <c r="C38" s="8" t="s">
        <v>58</v>
      </c>
      <c r="D38" s="9">
        <v>46216</v>
      </c>
      <c r="E38" s="10">
        <v>135983</v>
      </c>
      <c r="F38" s="11">
        <f>MIN(ROUNDDOWN(N($E38)*Paramètres!$C$16,0),Paramètres!$D$16)</f>
        <v>27196</v>
      </c>
      <c r="G38" s="11">
        <f>MIN(ROUNDDOWN(N($E38)*Paramètres!$C$17,0),Paramètres!$D$17)</f>
        <v>6799</v>
      </c>
      <c r="H38" s="11">
        <f>MIN(ROUNDDOWN(N($E38)*Paramètres!$C$18,0),Paramètres!$D$18)</f>
        <v>6799</v>
      </c>
      <c r="I38" s="11">
        <f t="shared" si="0"/>
        <v>95189</v>
      </c>
      <c r="J38" s="12">
        <v>0</v>
      </c>
      <c r="K38" s="13" t="str">
        <f>IF(I38&lt;Paramètres!$C$11,"Cadre inférieur","Cadre supérieur")</f>
        <v>Cadre inférieur</v>
      </c>
      <c r="L38" s="11">
        <f>MIN(F38,MIN(N($E38)*Paramètres!$C$16,Paramètres!$D$16))+MIN(G38,MIN(N($E38)*Paramètres!$C$17,Paramètres!$D$17))+MIN(H38,MIN(N($E38)*Paramètres!$C$18,Paramètres!$D$18))</f>
        <v>40794</v>
      </c>
      <c r="M38" s="11">
        <f>MIN(N($E38),Paramètres!$C$7)*Paramètres!$C$6</f>
        <v>7479.0649999999996</v>
      </c>
      <c r="N38" s="11">
        <f>MIN(M38,I38*Paramètres!$C$8)</f>
        <v>7479.0649999999996</v>
      </c>
      <c r="O38" s="11">
        <f>I38*IF(K38="Cadre supérieur",Paramètres!$C$10,Paramètres!$C$9)</f>
        <v>23797.25</v>
      </c>
      <c r="P38" s="11">
        <f t="shared" si="1"/>
        <v>63900</v>
      </c>
      <c r="Q38" s="11">
        <f>SUMPRODUCT((P38&gt;Paramètres!$B$21:$B$27)*(P38-Paramètres!$B$21:$B$27)*Paramètres!$E$21:$E$27)</f>
        <v>4352.0999999999995</v>
      </c>
      <c r="R38" s="11">
        <f>Q38*INDEX(Paramètres!$C$31:$C$38,MIN(MAX(INT(N(J38)),0),7)+1)</f>
        <v>0</v>
      </c>
      <c r="S38" s="14">
        <f t="shared" si="2"/>
        <v>4352</v>
      </c>
      <c r="T38" s="11">
        <f>ROUND(N($E38)*Paramètres!$C$13,0)</f>
        <v>4079</v>
      </c>
      <c r="U38" s="11">
        <f>ROUND(MAX(0,N($E38)-(Q38-R38)-M38)*Paramètres!$C$12,0)</f>
        <v>1242</v>
      </c>
      <c r="V38" s="14">
        <f t="shared" si="3"/>
        <v>122910</v>
      </c>
    </row>
    <row r="39" spans="2:22" ht="17.25" customHeight="1" x14ac:dyDescent="0.35">
      <c r="B39" s="7">
        <v>33</v>
      </c>
      <c r="C39" s="8" t="s">
        <v>59</v>
      </c>
      <c r="D39" s="9">
        <v>45778</v>
      </c>
      <c r="E39" s="10">
        <v>346515</v>
      </c>
      <c r="F39" s="11">
        <f>MIN(ROUNDDOWN(N($E39)*Paramètres!$C$16,0),Paramètres!$D$16)</f>
        <v>69303</v>
      </c>
      <c r="G39" s="11">
        <f>MIN(ROUNDDOWN(N($E39)*Paramètres!$C$17,0),Paramètres!$D$17)</f>
        <v>17325</v>
      </c>
      <c r="H39" s="11">
        <f>MIN(ROUNDDOWN(N($E39)*Paramètres!$C$18,0),Paramètres!$D$18)</f>
        <v>17325</v>
      </c>
      <c r="I39" s="11">
        <f t="shared" ref="I39:I70" si="4">N($E39)-(F39+G39+H39)</f>
        <v>242562</v>
      </c>
      <c r="J39" s="12">
        <v>0</v>
      </c>
      <c r="K39" s="13" t="str">
        <f>IF(I39&lt;Paramètres!$C$11,"Cadre inférieur","Cadre supérieur")</f>
        <v>Cadre supérieur</v>
      </c>
      <c r="L39" s="11">
        <f>MIN(F39,MIN(N($E39)*Paramètres!$C$16,Paramètres!$D$16))+MIN(G39,MIN(N($E39)*Paramètres!$C$17,Paramètres!$D$17))+MIN(H39,MIN(N($E39)*Paramètres!$C$18,Paramètres!$D$18))</f>
        <v>103953</v>
      </c>
      <c r="M39" s="11">
        <f>MIN(N($E39),Paramètres!$C$7)*Paramètres!$C$6</f>
        <v>19058.325000000001</v>
      </c>
      <c r="N39" s="11">
        <f>MIN(M39,I39*Paramètres!$C$8)</f>
        <v>19058.325000000001</v>
      </c>
      <c r="O39" s="11">
        <f>I39*IF(K39="Cadre supérieur",Paramètres!$C$10,Paramètres!$C$9)</f>
        <v>48512.4</v>
      </c>
      <c r="P39" s="11">
        <f t="shared" ref="P39:P70" si="5">MAX(0,ROUNDDOWN(N($E39)-L39-N39-O39,-2))</f>
        <v>174900</v>
      </c>
      <c r="Q39" s="11">
        <f>SUMPRODUCT((P39&gt;Paramètres!$B$21:$B$27)*(P39-Paramètres!$B$21:$B$27)*Paramètres!$E$21:$E$27)</f>
        <v>23133.299999999996</v>
      </c>
      <c r="R39" s="11">
        <f>Q39*INDEX(Paramètres!$C$31:$C$38,MIN(MAX(INT(N(J39)),0),7)+1)</f>
        <v>0</v>
      </c>
      <c r="S39" s="14">
        <f t="shared" ref="S39:S70" si="6">ROUND(Q39-R39,0)</f>
        <v>23133</v>
      </c>
      <c r="T39" s="11">
        <f>ROUND(N($E39)*Paramètres!$C$13,0)</f>
        <v>10395</v>
      </c>
      <c r="U39" s="11">
        <f>ROUND(MAX(0,N($E39)-(Q39-R39)-M39)*Paramètres!$C$12,0)</f>
        <v>3043</v>
      </c>
      <c r="V39" s="14">
        <f t="shared" ref="V39:V70" si="7">ROUND(N($E39)-M39-S39-U39,0)</f>
        <v>301281</v>
      </c>
    </row>
    <row r="40" spans="2:22" ht="17.25" customHeight="1" x14ac:dyDescent="0.35">
      <c r="B40" s="7">
        <v>34</v>
      </c>
      <c r="C40" s="8" t="s">
        <v>60</v>
      </c>
      <c r="D40" s="9">
        <v>45962</v>
      </c>
      <c r="E40" s="10">
        <v>213563</v>
      </c>
      <c r="F40" s="11">
        <f>MIN(ROUNDDOWN(N($E40)*Paramètres!$C$16,0),Paramètres!$D$16)</f>
        <v>42712</v>
      </c>
      <c r="G40" s="11">
        <f>MIN(ROUNDDOWN(N($E40)*Paramètres!$C$17,0),Paramètres!$D$17)</f>
        <v>10678</v>
      </c>
      <c r="H40" s="11">
        <f>MIN(ROUNDDOWN(N($E40)*Paramètres!$C$18,0),Paramètres!$D$18)</f>
        <v>10678</v>
      </c>
      <c r="I40" s="11">
        <f t="shared" si="4"/>
        <v>149495</v>
      </c>
      <c r="J40" s="12">
        <v>0</v>
      </c>
      <c r="K40" s="13" t="str">
        <f>IF(I40&lt;Paramètres!$C$11,"Cadre inférieur","Cadre supérieur")</f>
        <v>Cadre inférieur</v>
      </c>
      <c r="L40" s="11">
        <f>MIN(F40,MIN(N($E40)*Paramètres!$C$16,Paramètres!$D$16))+MIN(G40,MIN(N($E40)*Paramètres!$C$17,Paramètres!$D$17))+MIN(H40,MIN(N($E40)*Paramètres!$C$18,Paramètres!$D$18))</f>
        <v>64068</v>
      </c>
      <c r="M40" s="11">
        <f>MIN(N($E40),Paramètres!$C$7)*Paramètres!$C$6</f>
        <v>11745.965</v>
      </c>
      <c r="N40" s="11">
        <f>MIN(M40,I40*Paramètres!$C$8)</f>
        <v>11745.965</v>
      </c>
      <c r="O40" s="11">
        <f>I40*IF(K40="Cadre supérieur",Paramètres!$C$10,Paramètres!$C$9)</f>
        <v>37373.75</v>
      </c>
      <c r="P40" s="11">
        <f t="shared" si="5"/>
        <v>100300</v>
      </c>
      <c r="Q40" s="11">
        <f>SUMPRODUCT((P40&gt;Paramètres!$B$21:$B$27)*(P40-Paramètres!$B$21:$B$27)*Paramètres!$E$21:$E$27)</f>
        <v>9777.1</v>
      </c>
      <c r="R40" s="11">
        <f>Q40*INDEX(Paramètres!$C$31:$C$38,MIN(MAX(INT(N(J40)),0),7)+1)</f>
        <v>0</v>
      </c>
      <c r="S40" s="14">
        <f t="shared" si="6"/>
        <v>9777</v>
      </c>
      <c r="T40" s="11">
        <f>ROUND(N($E40)*Paramètres!$C$13,0)</f>
        <v>6407</v>
      </c>
      <c r="U40" s="11">
        <f>ROUND(MAX(0,N($E40)-(Q40-R40)-M40)*Paramètres!$C$12,0)</f>
        <v>1920</v>
      </c>
      <c r="V40" s="14">
        <f t="shared" si="7"/>
        <v>190120</v>
      </c>
    </row>
    <row r="41" spans="2:22" ht="17.25" customHeight="1" x14ac:dyDescent="0.35">
      <c r="B41" s="7">
        <v>35</v>
      </c>
      <c r="C41" s="8" t="s">
        <v>61</v>
      </c>
      <c r="D41" s="9">
        <v>46252</v>
      </c>
      <c r="E41" s="10">
        <v>0</v>
      </c>
      <c r="F41" s="11">
        <f>MIN(ROUNDDOWN(N($E41)*Paramètres!$C$16,0),Paramètres!$D$16)</f>
        <v>0</v>
      </c>
      <c r="G41" s="11">
        <f>MIN(ROUNDDOWN(N($E41)*Paramètres!$C$17,0),Paramètres!$D$17)</f>
        <v>0</v>
      </c>
      <c r="H41" s="11">
        <f>MIN(ROUNDDOWN(N($E41)*Paramètres!$C$18,0),Paramètres!$D$18)</f>
        <v>0</v>
      </c>
      <c r="I41" s="11">
        <f t="shared" si="4"/>
        <v>0</v>
      </c>
      <c r="J41" s="12">
        <v>0</v>
      </c>
      <c r="K41" s="13" t="str">
        <f>IF(I41&lt;Paramètres!$C$11,"Cadre inférieur","Cadre supérieur")</f>
        <v>Cadre inférieur</v>
      </c>
      <c r="L41" s="11">
        <f>MIN(F41,MIN(N($E41)*Paramètres!$C$16,Paramètres!$D$16))+MIN(G41,MIN(N($E41)*Paramètres!$C$17,Paramètres!$D$17))+MIN(H41,MIN(N($E41)*Paramètres!$C$18,Paramètres!$D$18))</f>
        <v>0</v>
      </c>
      <c r="M41" s="11">
        <f>MIN(N($E41),Paramètres!$C$7)*Paramètres!$C$6</f>
        <v>0</v>
      </c>
      <c r="N41" s="11">
        <f>MIN(M41,I41*Paramètres!$C$8)</f>
        <v>0</v>
      </c>
      <c r="O41" s="11">
        <f>I41*IF(K41="Cadre supérieur",Paramètres!$C$10,Paramètres!$C$9)</f>
        <v>0</v>
      </c>
      <c r="P41" s="11">
        <f t="shared" si="5"/>
        <v>0</v>
      </c>
      <c r="Q41" s="11">
        <f>SUMPRODUCT((P41&gt;Paramètres!$B$21:$B$27)*(P41-Paramètres!$B$21:$B$27)*Paramètres!$E$21:$E$27)</f>
        <v>0</v>
      </c>
      <c r="R41" s="11">
        <f>Q41*INDEX(Paramètres!$C$31:$C$38,MIN(MAX(INT(N(J41)),0),7)+1)</f>
        <v>0</v>
      </c>
      <c r="S41" s="14">
        <f t="shared" si="6"/>
        <v>0</v>
      </c>
      <c r="T41" s="11">
        <f>ROUND(N($E41)*Paramètres!$C$13,0)</f>
        <v>0</v>
      </c>
      <c r="U41" s="11">
        <f>ROUND(MAX(0,N($E41)-(Q41-R41)-M41)*Paramètres!$C$12,0)</f>
        <v>0</v>
      </c>
      <c r="V41" s="14">
        <f t="shared" si="7"/>
        <v>0</v>
      </c>
    </row>
    <row r="42" spans="2:22" ht="17.25" customHeight="1" x14ac:dyDescent="0.35">
      <c r="B42" s="7">
        <v>36</v>
      </c>
      <c r="C42" s="8" t="s">
        <v>62</v>
      </c>
      <c r="D42" s="9">
        <v>46023</v>
      </c>
      <c r="E42" s="10">
        <v>213563</v>
      </c>
      <c r="F42" s="11">
        <f>MIN(ROUNDDOWN(N($E42)*Paramètres!$C$16,0),Paramètres!$D$16)</f>
        <v>42712</v>
      </c>
      <c r="G42" s="11">
        <f>MIN(ROUNDDOWN(N($E42)*Paramètres!$C$17,0),Paramètres!$D$17)</f>
        <v>10678</v>
      </c>
      <c r="H42" s="11">
        <f>MIN(ROUNDDOWN(N($E42)*Paramètres!$C$18,0),Paramètres!$D$18)</f>
        <v>10678</v>
      </c>
      <c r="I42" s="11">
        <f t="shared" si="4"/>
        <v>149495</v>
      </c>
      <c r="J42" s="12">
        <v>0</v>
      </c>
      <c r="K42" s="13" t="str">
        <f>IF(I42&lt;Paramètres!$C$11,"Cadre inférieur","Cadre supérieur")</f>
        <v>Cadre inférieur</v>
      </c>
      <c r="L42" s="11">
        <f>MIN(F42,MIN(N($E42)*Paramètres!$C$16,Paramètres!$D$16))+MIN(G42,MIN(N($E42)*Paramètres!$C$17,Paramètres!$D$17))+MIN(H42,MIN(N($E42)*Paramètres!$C$18,Paramètres!$D$18))</f>
        <v>64068</v>
      </c>
      <c r="M42" s="11">
        <f>MIN(N($E42),Paramètres!$C$7)*Paramètres!$C$6</f>
        <v>11745.965</v>
      </c>
      <c r="N42" s="11">
        <f>MIN(M42,I42*Paramètres!$C$8)</f>
        <v>11745.965</v>
      </c>
      <c r="O42" s="11">
        <f>I42*IF(K42="Cadre supérieur",Paramètres!$C$10,Paramètres!$C$9)</f>
        <v>37373.75</v>
      </c>
      <c r="P42" s="11">
        <f t="shared" si="5"/>
        <v>100300</v>
      </c>
      <c r="Q42" s="11">
        <f>SUMPRODUCT((P42&gt;Paramètres!$B$21:$B$27)*(P42-Paramètres!$B$21:$B$27)*Paramètres!$E$21:$E$27)</f>
        <v>9777.1</v>
      </c>
      <c r="R42" s="11">
        <f>Q42*INDEX(Paramètres!$C$31:$C$38,MIN(MAX(INT(N(J42)),0),7)+1)</f>
        <v>0</v>
      </c>
      <c r="S42" s="14">
        <f t="shared" si="6"/>
        <v>9777</v>
      </c>
      <c r="T42" s="11">
        <f>ROUND(N($E42)*Paramètres!$C$13,0)</f>
        <v>6407</v>
      </c>
      <c r="U42" s="11">
        <f>ROUND(MAX(0,N($E42)-(Q42-R42)-M42)*Paramètres!$C$12,0)</f>
        <v>1920</v>
      </c>
      <c r="V42" s="14">
        <f t="shared" si="7"/>
        <v>190120</v>
      </c>
    </row>
    <row r="43" spans="2:22" ht="17.25" customHeight="1" x14ac:dyDescent="0.35">
      <c r="B43" s="7">
        <v>37</v>
      </c>
      <c r="C43" s="8" t="s">
        <v>63</v>
      </c>
      <c r="D43" s="9">
        <v>46220</v>
      </c>
      <c r="E43" s="10">
        <v>0</v>
      </c>
      <c r="F43" s="11">
        <f>MIN(ROUNDDOWN(N($E43)*Paramètres!$C$16,0),Paramètres!$D$16)</f>
        <v>0</v>
      </c>
      <c r="G43" s="11">
        <f>MIN(ROUNDDOWN(N($E43)*Paramètres!$C$17,0),Paramètres!$D$17)</f>
        <v>0</v>
      </c>
      <c r="H43" s="11">
        <f>MIN(ROUNDDOWN(N($E43)*Paramètres!$C$18,0),Paramètres!$D$18)</f>
        <v>0</v>
      </c>
      <c r="I43" s="11">
        <f t="shared" si="4"/>
        <v>0</v>
      </c>
      <c r="J43" s="12">
        <v>0</v>
      </c>
      <c r="K43" s="13" t="str">
        <f>IF(I43&lt;Paramètres!$C$11,"Cadre inférieur","Cadre supérieur")</f>
        <v>Cadre inférieur</v>
      </c>
      <c r="L43" s="11">
        <f>MIN(F43,MIN(N($E43)*Paramètres!$C$16,Paramètres!$D$16))+MIN(G43,MIN(N($E43)*Paramètres!$C$17,Paramètres!$D$17))+MIN(H43,MIN(N($E43)*Paramètres!$C$18,Paramètres!$D$18))</f>
        <v>0</v>
      </c>
      <c r="M43" s="11">
        <f>MIN(N($E43),Paramètres!$C$7)*Paramètres!$C$6</f>
        <v>0</v>
      </c>
      <c r="N43" s="11">
        <f>MIN(M43,I43*Paramètres!$C$8)</f>
        <v>0</v>
      </c>
      <c r="O43" s="11">
        <f>I43*IF(K43="Cadre supérieur",Paramètres!$C$10,Paramètres!$C$9)</f>
        <v>0</v>
      </c>
      <c r="P43" s="11">
        <f t="shared" si="5"/>
        <v>0</v>
      </c>
      <c r="Q43" s="11">
        <f>SUMPRODUCT((P43&gt;Paramètres!$B$21:$B$27)*(P43-Paramètres!$B$21:$B$27)*Paramètres!$E$21:$E$27)</f>
        <v>0</v>
      </c>
      <c r="R43" s="11">
        <f>Q43*INDEX(Paramètres!$C$31:$C$38,MIN(MAX(INT(N(J43)),0),7)+1)</f>
        <v>0</v>
      </c>
      <c r="S43" s="14">
        <f t="shared" si="6"/>
        <v>0</v>
      </c>
      <c r="T43" s="11">
        <f>ROUND(N($E43)*Paramètres!$C$13,0)</f>
        <v>0</v>
      </c>
      <c r="U43" s="11">
        <f>ROUND(MAX(0,N($E43)-(Q43-R43)-M43)*Paramètres!$C$12,0)</f>
        <v>0</v>
      </c>
      <c r="V43" s="14">
        <f t="shared" si="7"/>
        <v>0</v>
      </c>
    </row>
    <row r="44" spans="2:22" ht="17.25" customHeight="1" x14ac:dyDescent="0.35">
      <c r="B44" s="7">
        <v>38</v>
      </c>
      <c r="C44" s="8" t="s">
        <v>64</v>
      </c>
      <c r="D44" s="9">
        <v>46068</v>
      </c>
      <c r="E44" s="10">
        <v>135983</v>
      </c>
      <c r="F44" s="11">
        <f>MIN(ROUNDDOWN(N($E44)*Paramètres!$C$16,0),Paramètres!$D$16)</f>
        <v>27196</v>
      </c>
      <c r="G44" s="11">
        <f>MIN(ROUNDDOWN(N($E44)*Paramètres!$C$17,0),Paramètres!$D$17)</f>
        <v>6799</v>
      </c>
      <c r="H44" s="11">
        <f>MIN(ROUNDDOWN(N($E44)*Paramètres!$C$18,0),Paramètres!$D$18)</f>
        <v>6799</v>
      </c>
      <c r="I44" s="11">
        <f t="shared" si="4"/>
        <v>95189</v>
      </c>
      <c r="J44" s="12">
        <v>0</v>
      </c>
      <c r="K44" s="13" t="str">
        <f>IF(I44&lt;Paramètres!$C$11,"Cadre inférieur","Cadre supérieur")</f>
        <v>Cadre inférieur</v>
      </c>
      <c r="L44" s="11">
        <f>MIN(F44,MIN(N($E44)*Paramètres!$C$16,Paramètres!$D$16))+MIN(G44,MIN(N($E44)*Paramètres!$C$17,Paramètres!$D$17))+MIN(H44,MIN(N($E44)*Paramètres!$C$18,Paramètres!$D$18))</f>
        <v>40794</v>
      </c>
      <c r="M44" s="11">
        <f>MIN(N($E44),Paramètres!$C$7)*Paramètres!$C$6</f>
        <v>7479.0649999999996</v>
      </c>
      <c r="N44" s="11">
        <f>MIN(M44,I44*Paramètres!$C$8)</f>
        <v>7479.0649999999996</v>
      </c>
      <c r="O44" s="11">
        <f>I44*IF(K44="Cadre supérieur",Paramètres!$C$10,Paramètres!$C$9)</f>
        <v>23797.25</v>
      </c>
      <c r="P44" s="11">
        <f t="shared" si="5"/>
        <v>63900</v>
      </c>
      <c r="Q44" s="11">
        <f>SUMPRODUCT((P44&gt;Paramètres!$B$21:$B$27)*(P44-Paramètres!$B$21:$B$27)*Paramètres!$E$21:$E$27)</f>
        <v>4352.0999999999995</v>
      </c>
      <c r="R44" s="11">
        <f>Q44*INDEX(Paramètres!$C$31:$C$38,MIN(MAX(INT(N(J44)),0),7)+1)</f>
        <v>0</v>
      </c>
      <c r="S44" s="14">
        <f t="shared" si="6"/>
        <v>4352</v>
      </c>
      <c r="T44" s="11">
        <f>ROUND(N($E44)*Paramètres!$C$13,0)</f>
        <v>4079</v>
      </c>
      <c r="U44" s="11">
        <f>ROUND(MAX(0,N($E44)-(Q44-R44)-M44)*Paramètres!$C$12,0)</f>
        <v>1242</v>
      </c>
      <c r="V44" s="14">
        <f t="shared" si="7"/>
        <v>122910</v>
      </c>
    </row>
    <row r="45" spans="2:22" ht="17.25" customHeight="1" x14ac:dyDescent="0.35">
      <c r="B45" s="7">
        <v>39</v>
      </c>
      <c r="C45" s="8" t="s">
        <v>65</v>
      </c>
      <c r="D45" s="9">
        <v>46219</v>
      </c>
      <c r="E45" s="10"/>
      <c r="F45" s="11">
        <f>MIN(ROUNDDOWN(N($E45)*Paramètres!$C$16,0),Paramètres!$D$16)</f>
        <v>0</v>
      </c>
      <c r="G45" s="11">
        <f>MIN(ROUNDDOWN(N($E45)*Paramètres!$C$17,0),Paramètres!$D$17)</f>
        <v>0</v>
      </c>
      <c r="H45" s="11">
        <f>MIN(ROUNDDOWN(N($E45)*Paramètres!$C$18,0),Paramètres!$D$18)</f>
        <v>0</v>
      </c>
      <c r="I45" s="11">
        <f t="shared" si="4"/>
        <v>0</v>
      </c>
      <c r="J45" s="12">
        <v>0</v>
      </c>
      <c r="K45" s="13" t="str">
        <f>IF(I45&lt;Paramètres!$C$11,"Cadre inférieur","Cadre supérieur")</f>
        <v>Cadre inférieur</v>
      </c>
      <c r="L45" s="11">
        <f>MIN(F45,MIN(N($E45)*Paramètres!$C$16,Paramètres!$D$16))+MIN(G45,MIN(N($E45)*Paramètres!$C$17,Paramètres!$D$17))+MIN(H45,MIN(N($E45)*Paramètres!$C$18,Paramètres!$D$18))</f>
        <v>0</v>
      </c>
      <c r="M45" s="11">
        <f>MIN(N($E45),Paramètres!$C$7)*Paramètres!$C$6</f>
        <v>0</v>
      </c>
      <c r="N45" s="11">
        <f>MIN(M45,I45*Paramètres!$C$8)</f>
        <v>0</v>
      </c>
      <c r="O45" s="11">
        <f>I45*IF(K45="Cadre supérieur",Paramètres!$C$10,Paramètres!$C$9)</f>
        <v>0</v>
      </c>
      <c r="P45" s="11">
        <f t="shared" si="5"/>
        <v>0</v>
      </c>
      <c r="Q45" s="11">
        <f>SUMPRODUCT((P45&gt;Paramètres!$B$21:$B$27)*(P45-Paramètres!$B$21:$B$27)*Paramètres!$E$21:$E$27)</f>
        <v>0</v>
      </c>
      <c r="R45" s="11">
        <f>Q45*INDEX(Paramètres!$C$31:$C$38,MIN(MAX(INT(N(J45)),0),7)+1)</f>
        <v>0</v>
      </c>
      <c r="S45" s="14">
        <f t="shared" si="6"/>
        <v>0</v>
      </c>
      <c r="T45" s="11">
        <f>ROUND(N($E45)*Paramètres!$C$13,0)</f>
        <v>0</v>
      </c>
      <c r="U45" s="11">
        <f>ROUND(MAX(0,N($E45)-(Q45-R45)-M45)*Paramètres!$C$12,0)</f>
        <v>0</v>
      </c>
      <c r="V45" s="14">
        <f t="shared" si="7"/>
        <v>0</v>
      </c>
    </row>
    <row r="46" spans="2:22" ht="17.25" customHeight="1" x14ac:dyDescent="0.35">
      <c r="B46" s="7">
        <v>40</v>
      </c>
      <c r="C46" s="8" t="s">
        <v>66</v>
      </c>
      <c r="D46" s="9">
        <v>44562</v>
      </c>
      <c r="E46" s="10">
        <v>866830</v>
      </c>
      <c r="F46" s="11">
        <f>MIN(ROUNDDOWN(N($E46)*Paramètres!$C$16,0),Paramètres!$D$16)</f>
        <v>75000</v>
      </c>
      <c r="G46" s="11">
        <f>MIN(ROUNDDOWN(N($E46)*Paramètres!$C$17,0),Paramètres!$D$17)</f>
        <v>30000</v>
      </c>
      <c r="H46" s="11">
        <f>MIN(ROUNDDOWN(N($E46)*Paramètres!$C$18,0),Paramètres!$D$18)</f>
        <v>43341</v>
      </c>
      <c r="I46" s="11">
        <f t="shared" si="4"/>
        <v>718489</v>
      </c>
      <c r="J46" s="12">
        <v>0</v>
      </c>
      <c r="K46" s="13" t="str">
        <f>IF(I46&lt;Paramètres!$C$11,"Cadre inférieur","Cadre supérieur")</f>
        <v>Cadre supérieur</v>
      </c>
      <c r="L46" s="11">
        <f>MIN(F46,MIN(N($E46)*Paramètres!$C$16,Paramètres!$D$16))+MIN(G46,MIN(N($E46)*Paramètres!$C$17,Paramètres!$D$17))+MIN(H46,MIN(N($E46)*Paramètres!$C$18,Paramètres!$D$18))</f>
        <v>148341</v>
      </c>
      <c r="M46" s="11">
        <f>MIN(N($E46),Paramètres!$C$7)*Paramètres!$C$6</f>
        <v>44000</v>
      </c>
      <c r="N46" s="11">
        <f>MIN(M46,I46*Paramètres!$C$8)</f>
        <v>44000</v>
      </c>
      <c r="O46" s="11">
        <f>I46*IF(K46="Cadre supérieur",Paramètres!$C$10,Paramètres!$C$9)</f>
        <v>143697.80000000002</v>
      </c>
      <c r="P46" s="11">
        <f t="shared" si="5"/>
        <v>530700</v>
      </c>
      <c r="Q46" s="11">
        <f>SUMPRODUCT((P46&gt;Paramètres!$B$21:$B$27)*(P46-Paramètres!$B$21:$B$27)*Paramètres!$E$21:$E$27)</f>
        <v>109605</v>
      </c>
      <c r="R46" s="11">
        <f>Q46*INDEX(Paramètres!$C$31:$C$38,MIN(MAX(INT(N(J46)),0),7)+1)</f>
        <v>0</v>
      </c>
      <c r="S46" s="14">
        <f t="shared" si="6"/>
        <v>109605</v>
      </c>
      <c r="T46" s="11">
        <f>ROUND(N($E46)*Paramètres!$C$13,0)</f>
        <v>26005</v>
      </c>
      <c r="U46" s="11">
        <f>ROUND(MAX(0,N($E46)-(Q46-R46)-M46)*Paramètres!$C$12,0)</f>
        <v>7132</v>
      </c>
      <c r="V46" s="14">
        <f t="shared" si="7"/>
        <v>706093</v>
      </c>
    </row>
    <row r="47" spans="2:22" ht="17.25" customHeight="1" x14ac:dyDescent="0.35">
      <c r="B47" s="7">
        <v>41</v>
      </c>
      <c r="C47" s="8" t="s">
        <v>67</v>
      </c>
      <c r="D47" s="9">
        <v>46213</v>
      </c>
      <c r="E47" s="10">
        <v>0</v>
      </c>
      <c r="F47" s="11">
        <f>MIN(ROUNDDOWN(N($E47)*Paramètres!$C$16,0),Paramètres!$D$16)</f>
        <v>0</v>
      </c>
      <c r="G47" s="11">
        <f>MIN(ROUNDDOWN(N($E47)*Paramètres!$C$17,0),Paramètres!$D$17)</f>
        <v>0</v>
      </c>
      <c r="H47" s="11">
        <f>MIN(ROUNDDOWN(N($E47)*Paramètres!$C$18,0),Paramètres!$D$18)</f>
        <v>0</v>
      </c>
      <c r="I47" s="11">
        <f t="shared" si="4"/>
        <v>0</v>
      </c>
      <c r="J47" s="12">
        <v>0</v>
      </c>
      <c r="K47" s="13" t="str">
        <f>IF(I47&lt;Paramètres!$C$11,"Cadre inférieur","Cadre supérieur")</f>
        <v>Cadre inférieur</v>
      </c>
      <c r="L47" s="11">
        <f>MIN(F47,MIN(N($E47)*Paramètres!$C$16,Paramètres!$D$16))+MIN(G47,MIN(N($E47)*Paramètres!$C$17,Paramètres!$D$17))+MIN(H47,MIN(N($E47)*Paramètres!$C$18,Paramètres!$D$18))</f>
        <v>0</v>
      </c>
      <c r="M47" s="11">
        <f>MIN(N($E47),Paramètres!$C$7)*Paramètres!$C$6</f>
        <v>0</v>
      </c>
      <c r="N47" s="11">
        <f>MIN(M47,I47*Paramètres!$C$8)</f>
        <v>0</v>
      </c>
      <c r="O47" s="11">
        <f>I47*IF(K47="Cadre supérieur",Paramètres!$C$10,Paramètres!$C$9)</f>
        <v>0</v>
      </c>
      <c r="P47" s="11">
        <f t="shared" si="5"/>
        <v>0</v>
      </c>
      <c r="Q47" s="11">
        <f>SUMPRODUCT((P47&gt;Paramètres!$B$21:$B$27)*(P47-Paramètres!$B$21:$B$27)*Paramètres!$E$21:$E$27)</f>
        <v>0</v>
      </c>
      <c r="R47" s="11">
        <f>Q47*INDEX(Paramètres!$C$31:$C$38,MIN(MAX(INT(N(J47)),0),7)+1)</f>
        <v>0</v>
      </c>
      <c r="S47" s="14">
        <f t="shared" si="6"/>
        <v>0</v>
      </c>
      <c r="T47" s="11">
        <f>ROUND(N($E47)*Paramètres!$C$13,0)</f>
        <v>0</v>
      </c>
      <c r="U47" s="11">
        <f>ROUND(MAX(0,N($E47)-(Q47-R47)-M47)*Paramètres!$C$12,0)</f>
        <v>0</v>
      </c>
      <c r="V47" s="14">
        <f t="shared" si="7"/>
        <v>0</v>
      </c>
    </row>
    <row r="48" spans="2:22" ht="17.25" customHeight="1" x14ac:dyDescent="0.35">
      <c r="B48" s="7">
        <v>42</v>
      </c>
      <c r="C48" s="8" t="s">
        <v>68</v>
      </c>
      <c r="D48" s="9">
        <v>46218</v>
      </c>
      <c r="E48" s="10">
        <v>80000</v>
      </c>
      <c r="F48" s="11">
        <f>MIN(ROUNDDOWN(N($E48)*Paramètres!$C$16,0),Paramètres!$D$16)</f>
        <v>16000</v>
      </c>
      <c r="G48" s="11">
        <f>MIN(ROUNDDOWN(N($E48)*Paramètres!$C$17,0),Paramètres!$D$17)</f>
        <v>4000</v>
      </c>
      <c r="H48" s="11">
        <f>MIN(ROUNDDOWN(N($E48)*Paramètres!$C$18,0),Paramètres!$D$18)</f>
        <v>4000</v>
      </c>
      <c r="I48" s="11">
        <f t="shared" si="4"/>
        <v>56000</v>
      </c>
      <c r="J48" s="12">
        <v>0</v>
      </c>
      <c r="K48" s="13" t="str">
        <f>IF(I48&lt;Paramètres!$C$11,"Cadre inférieur","Cadre supérieur")</f>
        <v>Cadre inférieur</v>
      </c>
      <c r="L48" s="11">
        <f>MIN(F48,MIN(N($E48)*Paramètres!$C$16,Paramètres!$D$16))+MIN(G48,MIN(N($E48)*Paramètres!$C$17,Paramètres!$D$17))+MIN(H48,MIN(N($E48)*Paramètres!$C$18,Paramètres!$D$18))</f>
        <v>24000</v>
      </c>
      <c r="M48" s="11">
        <f>MIN(N($E48),Paramètres!$C$7)*Paramètres!$C$6</f>
        <v>4400</v>
      </c>
      <c r="N48" s="11">
        <f>MIN(M48,I48*Paramètres!$C$8)</f>
        <v>4400</v>
      </c>
      <c r="O48" s="11">
        <f>I48*IF(K48="Cadre supérieur",Paramètres!$C$10,Paramètres!$C$9)</f>
        <v>14000</v>
      </c>
      <c r="P48" s="11">
        <f t="shared" si="5"/>
        <v>37600</v>
      </c>
      <c r="Q48" s="11">
        <f>SUMPRODUCT((P48&gt;Paramètres!$B$21:$B$27)*(P48-Paramètres!$B$21:$B$27)*Paramètres!$E$21:$E$27)</f>
        <v>919.6</v>
      </c>
      <c r="R48" s="11">
        <f>Q48*INDEX(Paramètres!$C$31:$C$38,MIN(MAX(INT(N(J48)),0),7)+1)</f>
        <v>0</v>
      </c>
      <c r="S48" s="14">
        <f t="shared" si="6"/>
        <v>920</v>
      </c>
      <c r="T48" s="11">
        <f>ROUND(N($E48)*Paramètres!$C$13,0)</f>
        <v>2400</v>
      </c>
      <c r="U48" s="11">
        <f>ROUND(MAX(0,N($E48)-(Q48-R48)-M48)*Paramètres!$C$12,0)</f>
        <v>747</v>
      </c>
      <c r="V48" s="14">
        <f t="shared" si="7"/>
        <v>73933</v>
      </c>
    </row>
    <row r="49" spans="2:22" ht="17.25" customHeight="1" x14ac:dyDescent="0.35">
      <c r="B49" s="7">
        <v>43</v>
      </c>
      <c r="C49" s="8" t="s">
        <v>69</v>
      </c>
      <c r="D49" s="9">
        <v>46144</v>
      </c>
      <c r="E49" s="10">
        <v>108397</v>
      </c>
      <c r="F49" s="11">
        <f>MIN(ROUNDDOWN(N($E49)*Paramètres!$C$16,0),Paramètres!$D$16)</f>
        <v>21679</v>
      </c>
      <c r="G49" s="11">
        <f>MIN(ROUNDDOWN(N($E49)*Paramètres!$C$17,0),Paramètres!$D$17)</f>
        <v>5419</v>
      </c>
      <c r="H49" s="11">
        <f>MIN(ROUNDDOWN(N($E49)*Paramètres!$C$18,0),Paramètres!$D$18)</f>
        <v>5419</v>
      </c>
      <c r="I49" s="11">
        <f t="shared" si="4"/>
        <v>75880</v>
      </c>
      <c r="J49" s="12">
        <v>0</v>
      </c>
      <c r="K49" s="13" t="str">
        <f>IF(I49&lt;Paramètres!$C$11,"Cadre inférieur","Cadre supérieur")</f>
        <v>Cadre inférieur</v>
      </c>
      <c r="L49" s="11">
        <f>MIN(F49,MIN(N($E49)*Paramètres!$C$16,Paramètres!$D$16))+MIN(G49,MIN(N($E49)*Paramètres!$C$17,Paramètres!$D$17))+MIN(H49,MIN(N($E49)*Paramètres!$C$18,Paramètres!$D$18))</f>
        <v>32517</v>
      </c>
      <c r="M49" s="11">
        <f>MIN(N($E49),Paramètres!$C$7)*Paramètres!$C$6</f>
        <v>5961.835</v>
      </c>
      <c r="N49" s="11">
        <f>MIN(M49,I49*Paramètres!$C$8)</f>
        <v>5961.835</v>
      </c>
      <c r="O49" s="11">
        <f>I49*IF(K49="Cadre supérieur",Paramètres!$C$10,Paramètres!$C$9)</f>
        <v>18970</v>
      </c>
      <c r="P49" s="11">
        <f t="shared" si="5"/>
        <v>50900</v>
      </c>
      <c r="Q49" s="11">
        <f>SUMPRODUCT((P49&gt;Paramètres!$B$21:$B$27)*(P49-Paramètres!$B$21:$B$27)*Paramètres!$E$21:$E$27)</f>
        <v>2545.1</v>
      </c>
      <c r="R49" s="11">
        <f>Q49*INDEX(Paramètres!$C$31:$C$38,MIN(MAX(INT(N(J49)),0),7)+1)</f>
        <v>0</v>
      </c>
      <c r="S49" s="14">
        <f t="shared" si="6"/>
        <v>2545</v>
      </c>
      <c r="T49" s="11">
        <f>ROUND(N($E49)*Paramètres!$C$13,0)</f>
        <v>3252</v>
      </c>
      <c r="U49" s="11">
        <f>ROUND(MAX(0,N($E49)-(Q49-R49)-M49)*Paramètres!$C$12,0)</f>
        <v>999</v>
      </c>
      <c r="V49" s="14">
        <f t="shared" si="7"/>
        <v>98891</v>
      </c>
    </row>
    <row r="50" spans="2:22" x14ac:dyDescent="0.35">
      <c r="B50" s="7">
        <v>44</v>
      </c>
      <c r="C50" s="8" t="s">
        <v>70</v>
      </c>
      <c r="D50" s="19"/>
      <c r="E50" s="10">
        <v>225778</v>
      </c>
      <c r="F50" s="11">
        <f>MIN(ROUNDDOWN(N($E50)*Paramètres!$C$16,0),Paramètres!$D$16)</f>
        <v>45155</v>
      </c>
      <c r="G50" s="11">
        <f>MIN(ROUNDDOWN(N($E50)*Paramètres!$C$17,0),Paramètres!$D$17)</f>
        <v>11288</v>
      </c>
      <c r="H50" s="11">
        <f>MIN(ROUNDDOWN(N($E50)*Paramètres!$C$18,0),Paramètres!$D$18)</f>
        <v>11288</v>
      </c>
      <c r="I50" s="11">
        <f t="shared" si="4"/>
        <v>158047</v>
      </c>
      <c r="J50" s="12">
        <v>0</v>
      </c>
      <c r="K50" s="13" t="str">
        <f>IF(I50&lt;Paramètres!$C$11,"Cadre inférieur","Cadre supérieur")</f>
        <v>Cadre supérieur</v>
      </c>
      <c r="L50" s="11">
        <f>MIN(F50,MIN(N($E50)*Paramètres!$C$16,Paramètres!$D$16))+MIN(G50,MIN(N($E50)*Paramètres!$C$17,Paramètres!$D$17))+MIN(H50,MIN(N($E50)*Paramètres!$C$18,Paramètres!$D$18))</f>
        <v>67731</v>
      </c>
      <c r="M50" s="11">
        <f>MIN(N($E50),Paramètres!$C$7)*Paramètres!$C$6</f>
        <v>12417.79</v>
      </c>
      <c r="N50" s="11">
        <f>MIN(M50,I50*Paramètres!$C$8)</f>
        <v>12417.79</v>
      </c>
      <c r="O50" s="11">
        <f>I50*IF(K50="Cadre supérieur",Paramètres!$C$10,Paramètres!$C$9)</f>
        <v>31609.4</v>
      </c>
      <c r="P50" s="11">
        <f t="shared" si="5"/>
        <v>114000</v>
      </c>
      <c r="Q50" s="11">
        <f>SUMPRODUCT((P50&gt;Paramètres!$B$21:$B$27)*(P50-Paramètres!$B$21:$B$27)*Paramètres!$E$21:$E$27)</f>
        <v>11928</v>
      </c>
      <c r="R50" s="11">
        <f>Q50*INDEX(Paramètres!$C$31:$C$38,MIN(MAX(INT(N(J50)),0),7)+1)</f>
        <v>0</v>
      </c>
      <c r="S50" s="14">
        <f t="shared" si="6"/>
        <v>11928</v>
      </c>
      <c r="T50" s="11">
        <f>ROUND(N($E50)*Paramètres!$C$13,0)</f>
        <v>6773</v>
      </c>
      <c r="U50" s="11">
        <f>ROUND(MAX(0,N($E50)-(Q50-R50)-M50)*Paramètres!$C$12,0)</f>
        <v>2014</v>
      </c>
      <c r="V50" s="14">
        <f t="shared" si="7"/>
        <v>199418</v>
      </c>
    </row>
    <row r="51" spans="2:22" ht="17.25" customHeight="1" x14ac:dyDescent="0.35">
      <c r="B51" s="7">
        <v>45</v>
      </c>
      <c r="C51" s="8" t="s">
        <v>71</v>
      </c>
      <c r="D51" s="9">
        <v>46011</v>
      </c>
      <c r="E51" s="10">
        <v>177387</v>
      </c>
      <c r="F51" s="11">
        <f>MIN(ROUNDDOWN(N($E51)*Paramètres!$C$16,0),Paramètres!$D$16)</f>
        <v>35477</v>
      </c>
      <c r="G51" s="11">
        <f>MIN(ROUNDDOWN(N($E51)*Paramètres!$C$17,0),Paramètres!$D$17)</f>
        <v>8869</v>
      </c>
      <c r="H51" s="11">
        <f>MIN(ROUNDDOWN(N($E51)*Paramètres!$C$18,0),Paramètres!$D$18)</f>
        <v>8869</v>
      </c>
      <c r="I51" s="11">
        <f t="shared" si="4"/>
        <v>124172</v>
      </c>
      <c r="J51" s="12">
        <v>0</v>
      </c>
      <c r="K51" s="13" t="str">
        <f>IF(I51&lt;Paramètres!$C$11,"Cadre inférieur","Cadre supérieur")</f>
        <v>Cadre inférieur</v>
      </c>
      <c r="L51" s="11">
        <f>MIN(F51,MIN(N($E51)*Paramètres!$C$16,Paramètres!$D$16))+MIN(G51,MIN(N($E51)*Paramètres!$C$17,Paramètres!$D$17))+MIN(H51,MIN(N($E51)*Paramètres!$C$18,Paramètres!$D$18))</f>
        <v>53215</v>
      </c>
      <c r="M51" s="11">
        <f>MIN(N($E51),Paramètres!$C$7)*Paramètres!$C$6</f>
        <v>9756.2849999999999</v>
      </c>
      <c r="N51" s="11">
        <f>MIN(M51,I51*Paramètres!$C$8)</f>
        <v>9756.2849999999999</v>
      </c>
      <c r="O51" s="11">
        <f>I51*IF(K51="Cadre supérieur",Paramètres!$C$10,Paramètres!$C$9)</f>
        <v>31043</v>
      </c>
      <c r="P51" s="11">
        <f t="shared" si="5"/>
        <v>83300</v>
      </c>
      <c r="Q51" s="11">
        <f>SUMPRODUCT((P51&gt;Paramètres!$B$21:$B$27)*(P51-Paramètres!$B$21:$B$27)*Paramètres!$E$21:$E$27)</f>
        <v>7108.1</v>
      </c>
      <c r="R51" s="11">
        <f>Q51*INDEX(Paramètres!$C$31:$C$38,MIN(MAX(INT(N(J51)),0),7)+1)</f>
        <v>0</v>
      </c>
      <c r="S51" s="14">
        <f t="shared" si="6"/>
        <v>7108</v>
      </c>
      <c r="T51" s="11">
        <f>ROUND(N($E51)*Paramètres!$C$13,0)</f>
        <v>5322</v>
      </c>
      <c r="U51" s="11">
        <f>ROUND(MAX(0,N($E51)-(Q51-R51)-M51)*Paramètres!$C$12,0)</f>
        <v>1605</v>
      </c>
      <c r="V51" s="14">
        <f t="shared" si="7"/>
        <v>158918</v>
      </c>
    </row>
    <row r="52" spans="2:22" ht="17.25" customHeight="1" x14ac:dyDescent="0.35">
      <c r="B52" s="7">
        <v>46</v>
      </c>
      <c r="C52" s="8" t="s">
        <v>72</v>
      </c>
      <c r="D52" s="9">
        <v>46183</v>
      </c>
      <c r="E52" s="10">
        <v>0</v>
      </c>
      <c r="F52" s="11">
        <f>MIN(ROUNDDOWN(N($E52)*Paramètres!$C$16,0),Paramètres!$D$16)</f>
        <v>0</v>
      </c>
      <c r="G52" s="11">
        <f>MIN(ROUNDDOWN(N($E52)*Paramètres!$C$17,0),Paramètres!$D$17)</f>
        <v>0</v>
      </c>
      <c r="H52" s="11">
        <f>MIN(ROUNDDOWN(N($E52)*Paramètres!$C$18,0),Paramètres!$D$18)</f>
        <v>0</v>
      </c>
      <c r="I52" s="11">
        <f t="shared" si="4"/>
        <v>0</v>
      </c>
      <c r="J52" s="12">
        <v>0</v>
      </c>
      <c r="K52" s="13" t="str">
        <f>IF(I52&lt;Paramètres!$C$11,"Cadre inférieur","Cadre supérieur")</f>
        <v>Cadre inférieur</v>
      </c>
      <c r="L52" s="11">
        <f>MIN(F52,MIN(N($E52)*Paramètres!$C$16,Paramètres!$D$16))+MIN(G52,MIN(N($E52)*Paramètres!$C$17,Paramètres!$D$17))+MIN(H52,MIN(N($E52)*Paramètres!$C$18,Paramètres!$D$18))</f>
        <v>0</v>
      </c>
      <c r="M52" s="11">
        <f>MIN(N($E52),Paramètres!$C$7)*Paramètres!$C$6</f>
        <v>0</v>
      </c>
      <c r="N52" s="11">
        <f>MIN(M52,I52*Paramètres!$C$8)</f>
        <v>0</v>
      </c>
      <c r="O52" s="11">
        <f>I52*IF(K52="Cadre supérieur",Paramètres!$C$10,Paramètres!$C$9)</f>
        <v>0</v>
      </c>
      <c r="P52" s="11">
        <f t="shared" si="5"/>
        <v>0</v>
      </c>
      <c r="Q52" s="11">
        <f>SUMPRODUCT((P52&gt;Paramètres!$B$21:$B$27)*(P52-Paramètres!$B$21:$B$27)*Paramètres!$E$21:$E$27)</f>
        <v>0</v>
      </c>
      <c r="R52" s="11">
        <f>Q52*INDEX(Paramètres!$C$31:$C$38,MIN(MAX(INT(N(J52)),0),7)+1)</f>
        <v>0</v>
      </c>
      <c r="S52" s="14">
        <f t="shared" si="6"/>
        <v>0</v>
      </c>
      <c r="T52" s="11">
        <f>ROUND(N($E52)*Paramètres!$C$13,0)</f>
        <v>0</v>
      </c>
      <c r="U52" s="11">
        <f>ROUND(MAX(0,N($E52)-(Q52-R52)-M52)*Paramètres!$C$12,0)</f>
        <v>0</v>
      </c>
      <c r="V52" s="14">
        <f t="shared" si="7"/>
        <v>0</v>
      </c>
    </row>
    <row r="53" spans="2:22" ht="17.25" customHeight="1" x14ac:dyDescent="0.35">
      <c r="B53" s="7">
        <v>47</v>
      </c>
      <c r="C53" s="8" t="s">
        <v>73</v>
      </c>
      <c r="D53" s="9">
        <v>45784</v>
      </c>
      <c r="E53" s="10">
        <v>108397</v>
      </c>
      <c r="F53" s="11">
        <f>MIN(ROUNDDOWN(N($E53)*Paramètres!$C$16,0),Paramètres!$D$16)</f>
        <v>21679</v>
      </c>
      <c r="G53" s="11">
        <f>MIN(ROUNDDOWN(N($E53)*Paramètres!$C$17,0),Paramètres!$D$17)</f>
        <v>5419</v>
      </c>
      <c r="H53" s="11">
        <f>MIN(ROUNDDOWN(N($E53)*Paramètres!$C$18,0),Paramètres!$D$18)</f>
        <v>5419</v>
      </c>
      <c r="I53" s="11">
        <f t="shared" si="4"/>
        <v>75880</v>
      </c>
      <c r="J53" s="12">
        <v>0</v>
      </c>
      <c r="K53" s="13" t="str">
        <f>IF(I53&lt;Paramètres!$C$11,"Cadre inférieur","Cadre supérieur")</f>
        <v>Cadre inférieur</v>
      </c>
      <c r="L53" s="11">
        <f>MIN(F53,MIN(N($E53)*Paramètres!$C$16,Paramètres!$D$16))+MIN(G53,MIN(N($E53)*Paramètres!$C$17,Paramètres!$D$17))+MIN(H53,MIN(N($E53)*Paramètres!$C$18,Paramètres!$D$18))</f>
        <v>32517</v>
      </c>
      <c r="M53" s="11">
        <f>MIN(N($E53),Paramètres!$C$7)*Paramètres!$C$6</f>
        <v>5961.835</v>
      </c>
      <c r="N53" s="11">
        <f>MIN(M53,I53*Paramètres!$C$8)</f>
        <v>5961.835</v>
      </c>
      <c r="O53" s="11">
        <f>I53*IF(K53="Cadre supérieur",Paramètres!$C$10,Paramètres!$C$9)</f>
        <v>18970</v>
      </c>
      <c r="P53" s="11">
        <f t="shared" si="5"/>
        <v>50900</v>
      </c>
      <c r="Q53" s="11">
        <f>SUMPRODUCT((P53&gt;Paramètres!$B$21:$B$27)*(P53-Paramètres!$B$21:$B$27)*Paramètres!$E$21:$E$27)</f>
        <v>2545.1</v>
      </c>
      <c r="R53" s="11">
        <f>Q53*INDEX(Paramètres!$C$31:$C$38,MIN(MAX(INT(N(J53)),0),7)+1)</f>
        <v>0</v>
      </c>
      <c r="S53" s="14">
        <f t="shared" si="6"/>
        <v>2545</v>
      </c>
      <c r="T53" s="11">
        <f>ROUND(N($E53)*Paramètres!$C$13,0)</f>
        <v>3252</v>
      </c>
      <c r="U53" s="11">
        <f>ROUND(MAX(0,N($E53)-(Q53-R53)-M53)*Paramètres!$C$12,0)</f>
        <v>999</v>
      </c>
      <c r="V53" s="14">
        <f t="shared" si="7"/>
        <v>98891</v>
      </c>
    </row>
    <row r="54" spans="2:22" ht="17.25" customHeight="1" x14ac:dyDescent="0.35">
      <c r="B54" s="7">
        <v>48</v>
      </c>
      <c r="C54" s="8" t="s">
        <v>74</v>
      </c>
      <c r="D54" s="9">
        <v>46000</v>
      </c>
      <c r="E54" s="10">
        <v>177387</v>
      </c>
      <c r="F54" s="11">
        <f>MIN(ROUNDDOWN(N($E54)*Paramètres!$C$16,0),Paramètres!$D$16)</f>
        <v>35477</v>
      </c>
      <c r="G54" s="11">
        <f>MIN(ROUNDDOWN(N($E54)*Paramètres!$C$17,0),Paramètres!$D$17)</f>
        <v>8869</v>
      </c>
      <c r="H54" s="11">
        <f>MIN(ROUNDDOWN(N($E54)*Paramètres!$C$18,0),Paramètres!$D$18)</f>
        <v>8869</v>
      </c>
      <c r="I54" s="11">
        <f t="shared" si="4"/>
        <v>124172</v>
      </c>
      <c r="J54" s="12">
        <v>0</v>
      </c>
      <c r="K54" s="13" t="str">
        <f>IF(I54&lt;Paramètres!$C$11,"Cadre inférieur","Cadre supérieur")</f>
        <v>Cadre inférieur</v>
      </c>
      <c r="L54" s="11">
        <f>MIN(F54,MIN(N($E54)*Paramètres!$C$16,Paramètres!$D$16))+MIN(G54,MIN(N($E54)*Paramètres!$C$17,Paramètres!$D$17))+MIN(H54,MIN(N($E54)*Paramètres!$C$18,Paramètres!$D$18))</f>
        <v>53215</v>
      </c>
      <c r="M54" s="11">
        <f>MIN(N($E54),Paramètres!$C$7)*Paramètres!$C$6</f>
        <v>9756.2849999999999</v>
      </c>
      <c r="N54" s="11">
        <f>MIN(M54,I54*Paramètres!$C$8)</f>
        <v>9756.2849999999999</v>
      </c>
      <c r="O54" s="11">
        <f>I54*IF(K54="Cadre supérieur",Paramètres!$C$10,Paramètres!$C$9)</f>
        <v>31043</v>
      </c>
      <c r="P54" s="11">
        <f t="shared" si="5"/>
        <v>83300</v>
      </c>
      <c r="Q54" s="11">
        <f>SUMPRODUCT((P54&gt;Paramètres!$B$21:$B$27)*(P54-Paramètres!$B$21:$B$27)*Paramètres!$E$21:$E$27)</f>
        <v>7108.1</v>
      </c>
      <c r="R54" s="11">
        <f>Q54*INDEX(Paramètres!$C$31:$C$38,MIN(MAX(INT(N(J54)),0),7)+1)</f>
        <v>0</v>
      </c>
      <c r="S54" s="14">
        <f t="shared" si="6"/>
        <v>7108</v>
      </c>
      <c r="T54" s="11">
        <f>ROUND(N($E54)*Paramètres!$C$13,0)</f>
        <v>5322</v>
      </c>
      <c r="U54" s="11">
        <f>ROUND(MAX(0,N($E54)-(Q54-R54)-M54)*Paramètres!$C$12,0)</f>
        <v>1605</v>
      </c>
      <c r="V54" s="14">
        <f t="shared" si="7"/>
        <v>158918</v>
      </c>
    </row>
    <row r="55" spans="2:22" ht="17.25" customHeight="1" x14ac:dyDescent="0.35">
      <c r="B55" s="7">
        <v>49</v>
      </c>
      <c r="C55" s="8" t="s">
        <v>75</v>
      </c>
      <c r="D55" s="9">
        <v>46204</v>
      </c>
      <c r="E55" s="10">
        <v>0</v>
      </c>
      <c r="F55" s="11">
        <f>MIN(ROUNDDOWN(N($E55)*Paramètres!$C$16,0),Paramètres!$D$16)</f>
        <v>0</v>
      </c>
      <c r="G55" s="11">
        <f>MIN(ROUNDDOWN(N($E55)*Paramètres!$C$17,0),Paramètres!$D$17)</f>
        <v>0</v>
      </c>
      <c r="H55" s="11">
        <f>MIN(ROUNDDOWN(N($E55)*Paramètres!$C$18,0),Paramètres!$D$18)</f>
        <v>0</v>
      </c>
      <c r="I55" s="11">
        <f t="shared" si="4"/>
        <v>0</v>
      </c>
      <c r="J55" s="12">
        <v>0</v>
      </c>
      <c r="K55" s="13" t="str">
        <f>IF(I55&lt;Paramètres!$C$11,"Cadre inférieur","Cadre supérieur")</f>
        <v>Cadre inférieur</v>
      </c>
      <c r="L55" s="11">
        <f>MIN(F55,MIN(N($E55)*Paramètres!$C$16,Paramètres!$D$16))+MIN(G55,MIN(N($E55)*Paramètres!$C$17,Paramètres!$D$17))+MIN(H55,MIN(N($E55)*Paramètres!$C$18,Paramètres!$D$18))</f>
        <v>0</v>
      </c>
      <c r="M55" s="11">
        <f>MIN(N($E55),Paramètres!$C$7)*Paramètres!$C$6</f>
        <v>0</v>
      </c>
      <c r="N55" s="11">
        <f>MIN(M55,I55*Paramètres!$C$8)</f>
        <v>0</v>
      </c>
      <c r="O55" s="11">
        <f>I55*IF(K55="Cadre supérieur",Paramètres!$C$10,Paramètres!$C$9)</f>
        <v>0</v>
      </c>
      <c r="P55" s="11">
        <f t="shared" si="5"/>
        <v>0</v>
      </c>
      <c r="Q55" s="11">
        <f>SUMPRODUCT((P55&gt;Paramètres!$B$21:$B$27)*(P55-Paramètres!$B$21:$B$27)*Paramètres!$E$21:$E$27)</f>
        <v>0</v>
      </c>
      <c r="R55" s="11">
        <f>Q55*INDEX(Paramètres!$C$31:$C$38,MIN(MAX(INT(N(J55)),0),7)+1)</f>
        <v>0</v>
      </c>
      <c r="S55" s="14">
        <f t="shared" si="6"/>
        <v>0</v>
      </c>
      <c r="T55" s="11">
        <f>ROUND(N($E55)*Paramètres!$C$13,0)</f>
        <v>0</v>
      </c>
      <c r="U55" s="11">
        <f>ROUND(MAX(0,N($E55)-(Q55-R55)-M55)*Paramètres!$C$12,0)</f>
        <v>0</v>
      </c>
      <c r="V55" s="14">
        <f t="shared" si="7"/>
        <v>0</v>
      </c>
    </row>
    <row r="56" spans="2:22" ht="17.25" customHeight="1" x14ac:dyDescent="0.35">
      <c r="B56" s="7">
        <v>50</v>
      </c>
      <c r="C56" s="8" t="s">
        <v>76</v>
      </c>
      <c r="D56" s="9">
        <v>46088</v>
      </c>
      <c r="E56" s="10">
        <v>135983</v>
      </c>
      <c r="F56" s="11">
        <f>MIN(ROUNDDOWN(N($E56)*Paramètres!$C$16,0),Paramètres!$D$16)</f>
        <v>27196</v>
      </c>
      <c r="G56" s="11">
        <f>MIN(ROUNDDOWN(N($E56)*Paramètres!$C$17,0),Paramètres!$D$17)</f>
        <v>6799</v>
      </c>
      <c r="H56" s="11">
        <f>MIN(ROUNDDOWN(N($E56)*Paramètres!$C$18,0),Paramètres!$D$18)</f>
        <v>6799</v>
      </c>
      <c r="I56" s="11">
        <f t="shared" si="4"/>
        <v>95189</v>
      </c>
      <c r="J56" s="12">
        <v>0</v>
      </c>
      <c r="K56" s="13" t="str">
        <f>IF(I56&lt;Paramètres!$C$11,"Cadre inférieur","Cadre supérieur")</f>
        <v>Cadre inférieur</v>
      </c>
      <c r="L56" s="11">
        <f>MIN(F56,MIN(N($E56)*Paramètres!$C$16,Paramètres!$D$16))+MIN(G56,MIN(N($E56)*Paramètres!$C$17,Paramètres!$D$17))+MIN(H56,MIN(N($E56)*Paramètres!$C$18,Paramètres!$D$18))</f>
        <v>40794</v>
      </c>
      <c r="M56" s="11">
        <f>MIN(N($E56),Paramètres!$C$7)*Paramètres!$C$6</f>
        <v>7479.0649999999996</v>
      </c>
      <c r="N56" s="11">
        <f>MIN(M56,I56*Paramètres!$C$8)</f>
        <v>7479.0649999999996</v>
      </c>
      <c r="O56" s="11">
        <f>I56*IF(K56="Cadre supérieur",Paramètres!$C$10,Paramètres!$C$9)</f>
        <v>23797.25</v>
      </c>
      <c r="P56" s="11">
        <f t="shared" si="5"/>
        <v>63900</v>
      </c>
      <c r="Q56" s="11">
        <f>SUMPRODUCT((P56&gt;Paramètres!$B$21:$B$27)*(P56-Paramètres!$B$21:$B$27)*Paramètres!$E$21:$E$27)</f>
        <v>4352.0999999999995</v>
      </c>
      <c r="R56" s="11">
        <f>Q56*INDEX(Paramètres!$C$31:$C$38,MIN(MAX(INT(N(J56)),0),7)+1)</f>
        <v>0</v>
      </c>
      <c r="S56" s="14">
        <f t="shared" si="6"/>
        <v>4352</v>
      </c>
      <c r="T56" s="11">
        <f>ROUND(N($E56)*Paramètres!$C$13,0)</f>
        <v>4079</v>
      </c>
      <c r="U56" s="11">
        <f>ROUND(MAX(0,N($E56)-(Q56-R56)-M56)*Paramètres!$C$12,0)</f>
        <v>1242</v>
      </c>
      <c r="V56" s="14">
        <f t="shared" si="7"/>
        <v>122910</v>
      </c>
    </row>
    <row r="57" spans="2:22" ht="17.25" customHeight="1" x14ac:dyDescent="0.35">
      <c r="B57" s="7">
        <v>51</v>
      </c>
      <c r="C57" s="8" t="s">
        <v>77</v>
      </c>
      <c r="D57" s="9">
        <v>45766</v>
      </c>
      <c r="E57" s="10">
        <v>471355</v>
      </c>
      <c r="F57" s="11">
        <f>MIN(ROUNDDOWN(N($E57)*Paramètres!$C$16,0),Paramètres!$D$16)</f>
        <v>75000</v>
      </c>
      <c r="G57" s="11">
        <f>MIN(ROUNDDOWN(N($E57)*Paramètres!$C$17,0),Paramètres!$D$17)</f>
        <v>23567</v>
      </c>
      <c r="H57" s="11">
        <f>MIN(ROUNDDOWN(N($E57)*Paramètres!$C$18,0),Paramètres!$D$18)</f>
        <v>23567</v>
      </c>
      <c r="I57" s="11">
        <f t="shared" si="4"/>
        <v>349221</v>
      </c>
      <c r="J57" s="12">
        <v>0</v>
      </c>
      <c r="K57" s="13" t="str">
        <f>IF(I57&lt;Paramètres!$C$11,"Cadre inférieur","Cadre supérieur")</f>
        <v>Cadre supérieur</v>
      </c>
      <c r="L57" s="11">
        <f>MIN(F57,MIN(N($E57)*Paramètres!$C$16,Paramètres!$D$16))+MIN(G57,MIN(N($E57)*Paramètres!$C$17,Paramètres!$D$17))+MIN(H57,MIN(N($E57)*Paramètres!$C$18,Paramètres!$D$18))</f>
        <v>122134</v>
      </c>
      <c r="M57" s="11">
        <f>MIN(N($E57),Paramètres!$C$7)*Paramètres!$C$6</f>
        <v>25924.525000000001</v>
      </c>
      <c r="N57" s="11">
        <f>MIN(M57,I57*Paramètres!$C$8)</f>
        <v>25924.525000000001</v>
      </c>
      <c r="O57" s="11">
        <f>I57*IF(K57="Cadre supérieur",Paramètres!$C$10,Paramètres!$C$9)</f>
        <v>69844.2</v>
      </c>
      <c r="P57" s="11">
        <f t="shared" si="5"/>
        <v>253400</v>
      </c>
      <c r="Q57" s="11">
        <f>SUMPRODUCT((P57&gt;Paramètres!$B$21:$B$27)*(P57-Paramètres!$B$21:$B$27)*Paramètres!$E$21:$E$27)</f>
        <v>40280</v>
      </c>
      <c r="R57" s="11">
        <f>Q57*INDEX(Paramètres!$C$31:$C$38,MIN(MAX(INT(N(J57)),0),7)+1)</f>
        <v>0</v>
      </c>
      <c r="S57" s="14">
        <f t="shared" si="6"/>
        <v>40280</v>
      </c>
      <c r="T57" s="11">
        <f>ROUND(N($E57)*Paramètres!$C$13,0)</f>
        <v>14141</v>
      </c>
      <c r="U57" s="11">
        <f>ROUND(MAX(0,N($E57)-(Q57-R57)-M57)*Paramètres!$C$12,0)</f>
        <v>4052</v>
      </c>
      <c r="V57" s="14">
        <f t="shared" si="7"/>
        <v>401098</v>
      </c>
    </row>
    <row r="58" spans="2:22" ht="17.25" customHeight="1" x14ac:dyDescent="0.35">
      <c r="B58" s="7">
        <v>52</v>
      </c>
      <c r="C58" s="8" t="s">
        <v>78</v>
      </c>
      <c r="D58" s="9">
        <v>45778</v>
      </c>
      <c r="E58" s="10">
        <v>213563</v>
      </c>
      <c r="F58" s="11">
        <f>MIN(ROUNDDOWN(N($E58)*Paramètres!$C$16,0),Paramètres!$D$16)</f>
        <v>42712</v>
      </c>
      <c r="G58" s="11">
        <f>MIN(ROUNDDOWN(N($E58)*Paramètres!$C$17,0),Paramètres!$D$17)</f>
        <v>10678</v>
      </c>
      <c r="H58" s="11">
        <f>MIN(ROUNDDOWN(N($E58)*Paramètres!$C$18,0),Paramètres!$D$18)</f>
        <v>10678</v>
      </c>
      <c r="I58" s="11">
        <f t="shared" si="4"/>
        <v>149495</v>
      </c>
      <c r="J58" s="12">
        <v>0</v>
      </c>
      <c r="K58" s="13" t="str">
        <f>IF(I58&lt;Paramètres!$C$11,"Cadre inférieur","Cadre supérieur")</f>
        <v>Cadre inférieur</v>
      </c>
      <c r="L58" s="11">
        <f>MIN(F58,MIN(N($E58)*Paramètres!$C$16,Paramètres!$D$16))+MIN(G58,MIN(N($E58)*Paramètres!$C$17,Paramètres!$D$17))+MIN(H58,MIN(N($E58)*Paramètres!$C$18,Paramètres!$D$18))</f>
        <v>64068</v>
      </c>
      <c r="M58" s="11">
        <f>MIN(N($E58),Paramètres!$C$7)*Paramètres!$C$6</f>
        <v>11745.965</v>
      </c>
      <c r="N58" s="11">
        <f>MIN(M58,I58*Paramètres!$C$8)</f>
        <v>11745.965</v>
      </c>
      <c r="O58" s="11">
        <f>I58*IF(K58="Cadre supérieur",Paramètres!$C$10,Paramètres!$C$9)</f>
        <v>37373.75</v>
      </c>
      <c r="P58" s="11">
        <f t="shared" si="5"/>
        <v>100300</v>
      </c>
      <c r="Q58" s="11">
        <f>SUMPRODUCT((P58&gt;Paramètres!$B$21:$B$27)*(P58-Paramètres!$B$21:$B$27)*Paramètres!$E$21:$E$27)</f>
        <v>9777.1</v>
      </c>
      <c r="R58" s="11">
        <f>Q58*INDEX(Paramètres!$C$31:$C$38,MIN(MAX(INT(N(J58)),0),7)+1)</f>
        <v>0</v>
      </c>
      <c r="S58" s="14">
        <f t="shared" si="6"/>
        <v>9777</v>
      </c>
      <c r="T58" s="11">
        <f>ROUND(N($E58)*Paramètres!$C$13,0)</f>
        <v>6407</v>
      </c>
      <c r="U58" s="11">
        <f>ROUND(MAX(0,N($E58)-(Q58-R58)-M58)*Paramètres!$C$12,0)</f>
        <v>1920</v>
      </c>
      <c r="V58" s="14">
        <f t="shared" si="7"/>
        <v>190120</v>
      </c>
    </row>
    <row r="59" spans="2:22" ht="17.25" customHeight="1" x14ac:dyDescent="0.35">
      <c r="B59" s="7">
        <v>53</v>
      </c>
      <c r="C59" s="8" t="s">
        <v>79</v>
      </c>
      <c r="D59" s="9">
        <v>45778</v>
      </c>
      <c r="E59" s="10">
        <v>213563</v>
      </c>
      <c r="F59" s="11">
        <f>MIN(ROUNDDOWN(N($E59)*Paramètres!$C$16,0),Paramètres!$D$16)</f>
        <v>42712</v>
      </c>
      <c r="G59" s="11">
        <f>MIN(ROUNDDOWN(N($E59)*Paramètres!$C$17,0),Paramètres!$D$17)</f>
        <v>10678</v>
      </c>
      <c r="H59" s="11">
        <f>MIN(ROUNDDOWN(N($E59)*Paramètres!$C$18,0),Paramètres!$D$18)</f>
        <v>10678</v>
      </c>
      <c r="I59" s="11">
        <f t="shared" si="4"/>
        <v>149495</v>
      </c>
      <c r="J59" s="12">
        <v>0</v>
      </c>
      <c r="K59" s="13" t="str">
        <f>IF(I59&lt;Paramètres!$C$11,"Cadre inférieur","Cadre supérieur")</f>
        <v>Cadre inférieur</v>
      </c>
      <c r="L59" s="11">
        <f>MIN(F59,MIN(N($E59)*Paramètres!$C$16,Paramètres!$D$16))+MIN(G59,MIN(N($E59)*Paramètres!$C$17,Paramètres!$D$17))+MIN(H59,MIN(N($E59)*Paramètres!$C$18,Paramètres!$D$18))</f>
        <v>64068</v>
      </c>
      <c r="M59" s="11">
        <f>MIN(N($E59),Paramètres!$C$7)*Paramètres!$C$6</f>
        <v>11745.965</v>
      </c>
      <c r="N59" s="11">
        <f>MIN(M59,I59*Paramètres!$C$8)</f>
        <v>11745.965</v>
      </c>
      <c r="O59" s="11">
        <f>I59*IF(K59="Cadre supérieur",Paramètres!$C$10,Paramètres!$C$9)</f>
        <v>37373.75</v>
      </c>
      <c r="P59" s="11">
        <f t="shared" si="5"/>
        <v>100300</v>
      </c>
      <c r="Q59" s="11">
        <f>SUMPRODUCT((P59&gt;Paramètres!$B$21:$B$27)*(P59-Paramètres!$B$21:$B$27)*Paramètres!$E$21:$E$27)</f>
        <v>9777.1</v>
      </c>
      <c r="R59" s="11">
        <f>Q59*INDEX(Paramètres!$C$31:$C$38,MIN(MAX(INT(N(J59)),0),7)+1)</f>
        <v>0</v>
      </c>
      <c r="S59" s="14">
        <f t="shared" si="6"/>
        <v>9777</v>
      </c>
      <c r="T59" s="11">
        <f>ROUND(N($E59)*Paramètres!$C$13,0)</f>
        <v>6407</v>
      </c>
      <c r="U59" s="11">
        <f>ROUND(MAX(0,N($E59)-(Q59-R59)-M59)*Paramètres!$C$12,0)</f>
        <v>1920</v>
      </c>
      <c r="V59" s="14">
        <f t="shared" si="7"/>
        <v>190120</v>
      </c>
    </row>
    <row r="60" spans="2:22" ht="17.25" customHeight="1" x14ac:dyDescent="0.35">
      <c r="B60" s="7">
        <v>54</v>
      </c>
      <c r="C60" s="8" t="s">
        <v>80</v>
      </c>
      <c r="D60" s="9"/>
      <c r="E60" s="10">
        <v>0</v>
      </c>
      <c r="F60" s="11">
        <f>MIN(ROUNDDOWN(N($E60)*Paramètres!$C$16,0),Paramètres!$D$16)</f>
        <v>0</v>
      </c>
      <c r="G60" s="11">
        <f>MIN(ROUNDDOWN(N($E60)*Paramètres!$C$17,0),Paramètres!$D$17)</f>
        <v>0</v>
      </c>
      <c r="H60" s="11">
        <f>MIN(ROUNDDOWN(N($E60)*Paramètres!$C$18,0),Paramètres!$D$18)</f>
        <v>0</v>
      </c>
      <c r="I60" s="11">
        <f t="shared" si="4"/>
        <v>0</v>
      </c>
      <c r="J60" s="12">
        <v>0</v>
      </c>
      <c r="K60" s="13" t="str">
        <f>IF(I60&lt;Paramètres!$C$11,"Cadre inférieur","Cadre supérieur")</f>
        <v>Cadre inférieur</v>
      </c>
      <c r="L60" s="11">
        <f>MIN(F60,MIN(N($E60)*Paramètres!$C$16,Paramètres!$D$16))+MIN(G60,MIN(N($E60)*Paramètres!$C$17,Paramètres!$D$17))+MIN(H60,MIN(N($E60)*Paramètres!$C$18,Paramètres!$D$18))</f>
        <v>0</v>
      </c>
      <c r="M60" s="11">
        <f>MIN(N($E60),Paramètres!$C$7)*Paramètres!$C$6</f>
        <v>0</v>
      </c>
      <c r="N60" s="11">
        <f>MIN(M60,I60*Paramètres!$C$8)</f>
        <v>0</v>
      </c>
      <c r="O60" s="11">
        <f>I60*IF(K60="Cadre supérieur",Paramètres!$C$10,Paramètres!$C$9)</f>
        <v>0</v>
      </c>
      <c r="P60" s="11">
        <f t="shared" si="5"/>
        <v>0</v>
      </c>
      <c r="Q60" s="11">
        <f>SUMPRODUCT((P60&gt;Paramètres!$B$21:$B$27)*(P60-Paramètres!$B$21:$B$27)*Paramètres!$E$21:$E$27)</f>
        <v>0</v>
      </c>
      <c r="R60" s="11">
        <f>Q60*INDEX(Paramètres!$C$31:$C$38,MIN(MAX(INT(N(J60)),0),7)+1)</f>
        <v>0</v>
      </c>
      <c r="S60" s="14">
        <f t="shared" si="6"/>
        <v>0</v>
      </c>
      <c r="T60" s="11">
        <f>ROUND(N($E60)*Paramètres!$C$13,0)</f>
        <v>0</v>
      </c>
      <c r="U60" s="11">
        <f>ROUND(MAX(0,N($E60)-(Q60-R60)-M60)*Paramètres!$C$12,0)</f>
        <v>0</v>
      </c>
      <c r="V60" s="14">
        <f t="shared" si="7"/>
        <v>0</v>
      </c>
    </row>
    <row r="61" spans="2:22" ht="17.25" customHeight="1" x14ac:dyDescent="0.35">
      <c r="B61" s="7">
        <v>55</v>
      </c>
      <c r="C61" s="8" t="s">
        <v>81</v>
      </c>
      <c r="D61" s="9">
        <v>45778</v>
      </c>
      <c r="E61" s="10">
        <v>213566</v>
      </c>
      <c r="F61" s="11">
        <f>MIN(ROUNDDOWN(N($E61)*Paramètres!$C$16,0),Paramètres!$D$16)</f>
        <v>42713</v>
      </c>
      <c r="G61" s="11">
        <f>MIN(ROUNDDOWN(N($E61)*Paramètres!$C$17,0),Paramètres!$D$17)</f>
        <v>10678</v>
      </c>
      <c r="H61" s="11">
        <f>MIN(ROUNDDOWN(N($E61)*Paramètres!$C$18,0),Paramètres!$D$18)</f>
        <v>10678</v>
      </c>
      <c r="I61" s="11">
        <f t="shared" si="4"/>
        <v>149497</v>
      </c>
      <c r="J61" s="12">
        <v>0</v>
      </c>
      <c r="K61" s="13" t="str">
        <f>IF(I61&lt;Paramètres!$C$11,"Cadre inférieur","Cadre supérieur")</f>
        <v>Cadre inférieur</v>
      </c>
      <c r="L61" s="11">
        <f>MIN(F61,MIN(N($E61)*Paramètres!$C$16,Paramètres!$D$16))+MIN(G61,MIN(N($E61)*Paramètres!$C$17,Paramètres!$D$17))+MIN(H61,MIN(N($E61)*Paramètres!$C$18,Paramètres!$D$18))</f>
        <v>64069</v>
      </c>
      <c r="M61" s="11">
        <f>MIN(N($E61),Paramètres!$C$7)*Paramètres!$C$6</f>
        <v>11746.13</v>
      </c>
      <c r="N61" s="11">
        <f>MIN(M61,I61*Paramètres!$C$8)</f>
        <v>11746.13</v>
      </c>
      <c r="O61" s="11">
        <f>I61*IF(K61="Cadre supérieur",Paramètres!$C$10,Paramètres!$C$9)</f>
        <v>37374.25</v>
      </c>
      <c r="P61" s="11">
        <f t="shared" si="5"/>
        <v>100300</v>
      </c>
      <c r="Q61" s="11">
        <f>SUMPRODUCT((P61&gt;Paramètres!$B$21:$B$27)*(P61-Paramètres!$B$21:$B$27)*Paramètres!$E$21:$E$27)</f>
        <v>9777.1</v>
      </c>
      <c r="R61" s="11">
        <f>Q61*INDEX(Paramètres!$C$31:$C$38,MIN(MAX(INT(N(J61)),0),7)+1)</f>
        <v>0</v>
      </c>
      <c r="S61" s="14">
        <f t="shared" si="6"/>
        <v>9777</v>
      </c>
      <c r="T61" s="11">
        <f>ROUND(N($E61)*Paramètres!$C$13,0)</f>
        <v>6407</v>
      </c>
      <c r="U61" s="11">
        <f>ROUND(MAX(0,N($E61)-(Q61-R61)-M61)*Paramètres!$C$12,0)</f>
        <v>1920</v>
      </c>
      <c r="V61" s="14">
        <f t="shared" si="7"/>
        <v>190123</v>
      </c>
    </row>
    <row r="62" spans="2:22" ht="17.25" customHeight="1" x14ac:dyDescent="0.35">
      <c r="B62" s="7">
        <v>56</v>
      </c>
      <c r="C62" s="8" t="s">
        <v>82</v>
      </c>
      <c r="D62" s="9">
        <v>46235</v>
      </c>
      <c r="E62" s="10">
        <v>0</v>
      </c>
      <c r="F62" s="11">
        <f>MIN(ROUNDDOWN(N($E62)*Paramètres!$C$16,0),Paramètres!$D$16)</f>
        <v>0</v>
      </c>
      <c r="G62" s="11">
        <f>MIN(ROUNDDOWN(N($E62)*Paramètres!$C$17,0),Paramètres!$D$17)</f>
        <v>0</v>
      </c>
      <c r="H62" s="11">
        <f>MIN(ROUNDDOWN(N($E62)*Paramètres!$C$18,0),Paramètres!$D$18)</f>
        <v>0</v>
      </c>
      <c r="I62" s="11">
        <f t="shared" si="4"/>
        <v>0</v>
      </c>
      <c r="J62" s="12">
        <v>0</v>
      </c>
      <c r="K62" s="13" t="str">
        <f>IF(I62&lt;Paramètres!$C$11,"Cadre inférieur","Cadre supérieur")</f>
        <v>Cadre inférieur</v>
      </c>
      <c r="L62" s="11">
        <f>MIN(F62,MIN(N($E62)*Paramètres!$C$16,Paramètres!$D$16))+MIN(G62,MIN(N($E62)*Paramètres!$C$17,Paramètres!$D$17))+MIN(H62,MIN(N($E62)*Paramètres!$C$18,Paramètres!$D$18))</f>
        <v>0</v>
      </c>
      <c r="M62" s="11">
        <f>MIN(N($E62),Paramètres!$C$7)*Paramètres!$C$6</f>
        <v>0</v>
      </c>
      <c r="N62" s="11">
        <f>MIN(M62,I62*Paramètres!$C$8)</f>
        <v>0</v>
      </c>
      <c r="O62" s="11">
        <f>I62*IF(K62="Cadre supérieur",Paramètres!$C$10,Paramètres!$C$9)</f>
        <v>0</v>
      </c>
      <c r="P62" s="11">
        <f t="shared" si="5"/>
        <v>0</v>
      </c>
      <c r="Q62" s="11">
        <f>SUMPRODUCT((P62&gt;Paramètres!$B$21:$B$27)*(P62-Paramètres!$B$21:$B$27)*Paramètres!$E$21:$E$27)</f>
        <v>0</v>
      </c>
      <c r="R62" s="11">
        <f>Q62*INDEX(Paramètres!$C$31:$C$38,MIN(MAX(INT(N(J62)),0),7)+1)</f>
        <v>0</v>
      </c>
      <c r="S62" s="14">
        <f t="shared" si="6"/>
        <v>0</v>
      </c>
      <c r="T62" s="11">
        <f>ROUND(N($E62)*Paramètres!$C$13,0)</f>
        <v>0</v>
      </c>
      <c r="U62" s="11">
        <f>ROUND(MAX(0,N($E62)-(Q62-R62)-M62)*Paramètres!$C$12,0)</f>
        <v>0</v>
      </c>
      <c r="V62" s="14">
        <f t="shared" si="7"/>
        <v>0</v>
      </c>
    </row>
    <row r="63" spans="2:22" ht="17.25" customHeight="1" x14ac:dyDescent="0.35">
      <c r="B63" s="7">
        <v>57</v>
      </c>
      <c r="C63" s="8" t="s">
        <v>83</v>
      </c>
      <c r="D63" s="9">
        <v>46175</v>
      </c>
      <c r="E63" s="10">
        <v>177387</v>
      </c>
      <c r="F63" s="11">
        <f>MIN(ROUNDDOWN(N($E63)*Paramètres!$C$16,0),Paramètres!$D$16)</f>
        <v>35477</v>
      </c>
      <c r="G63" s="11">
        <f>MIN(ROUNDDOWN(N($E63)*Paramètres!$C$17,0),Paramètres!$D$17)</f>
        <v>8869</v>
      </c>
      <c r="H63" s="11">
        <f>MIN(ROUNDDOWN(N($E63)*Paramètres!$C$18,0),Paramètres!$D$18)</f>
        <v>8869</v>
      </c>
      <c r="I63" s="11">
        <f t="shared" si="4"/>
        <v>124172</v>
      </c>
      <c r="J63" s="12">
        <v>0</v>
      </c>
      <c r="K63" s="13" t="str">
        <f>IF(I63&lt;Paramètres!$C$11,"Cadre inférieur","Cadre supérieur")</f>
        <v>Cadre inférieur</v>
      </c>
      <c r="L63" s="11">
        <f>MIN(F63,MIN(N($E63)*Paramètres!$C$16,Paramètres!$D$16))+MIN(G63,MIN(N($E63)*Paramètres!$C$17,Paramètres!$D$17))+MIN(H63,MIN(N($E63)*Paramètres!$C$18,Paramètres!$D$18))</f>
        <v>53215</v>
      </c>
      <c r="M63" s="11">
        <f>MIN(N($E63),Paramètres!$C$7)*Paramètres!$C$6</f>
        <v>9756.2849999999999</v>
      </c>
      <c r="N63" s="11">
        <f>MIN(M63,I63*Paramètres!$C$8)</f>
        <v>9756.2849999999999</v>
      </c>
      <c r="O63" s="11">
        <f>I63*IF(K63="Cadre supérieur",Paramètres!$C$10,Paramètres!$C$9)</f>
        <v>31043</v>
      </c>
      <c r="P63" s="11">
        <f t="shared" si="5"/>
        <v>83300</v>
      </c>
      <c r="Q63" s="11">
        <f>SUMPRODUCT((P63&gt;Paramètres!$B$21:$B$27)*(P63-Paramètres!$B$21:$B$27)*Paramètres!$E$21:$E$27)</f>
        <v>7108.1</v>
      </c>
      <c r="R63" s="11">
        <f>Q63*INDEX(Paramètres!$C$31:$C$38,MIN(MAX(INT(N(J63)),0),7)+1)</f>
        <v>0</v>
      </c>
      <c r="S63" s="14">
        <f t="shared" si="6"/>
        <v>7108</v>
      </c>
      <c r="T63" s="11">
        <f>ROUND(N($E63)*Paramètres!$C$13,0)</f>
        <v>5322</v>
      </c>
      <c r="U63" s="11">
        <f>ROUND(MAX(0,N($E63)-(Q63-R63)-M63)*Paramètres!$C$12,0)</f>
        <v>1605</v>
      </c>
      <c r="V63" s="14">
        <f t="shared" si="7"/>
        <v>158918</v>
      </c>
    </row>
    <row r="64" spans="2:22" ht="17.25" customHeight="1" x14ac:dyDescent="0.35">
      <c r="B64" s="7">
        <v>58</v>
      </c>
      <c r="C64" s="8" t="s">
        <v>84</v>
      </c>
      <c r="D64" s="9">
        <v>45901</v>
      </c>
      <c r="E64" s="10">
        <v>213566</v>
      </c>
      <c r="F64" s="11">
        <f>MIN(ROUNDDOWN(N($E64)*Paramètres!$C$16,0),Paramètres!$D$16)</f>
        <v>42713</v>
      </c>
      <c r="G64" s="11">
        <f>MIN(ROUNDDOWN(N($E64)*Paramètres!$C$17,0),Paramètres!$D$17)</f>
        <v>10678</v>
      </c>
      <c r="H64" s="11">
        <f>MIN(ROUNDDOWN(N($E64)*Paramètres!$C$18,0),Paramètres!$D$18)</f>
        <v>10678</v>
      </c>
      <c r="I64" s="11">
        <f t="shared" si="4"/>
        <v>149497</v>
      </c>
      <c r="J64" s="12">
        <v>0</v>
      </c>
      <c r="K64" s="13" t="str">
        <f>IF(I64&lt;Paramètres!$C$11,"Cadre inférieur","Cadre supérieur")</f>
        <v>Cadre inférieur</v>
      </c>
      <c r="L64" s="11">
        <f>MIN(F64,MIN(N($E64)*Paramètres!$C$16,Paramètres!$D$16))+MIN(G64,MIN(N($E64)*Paramètres!$C$17,Paramètres!$D$17))+MIN(H64,MIN(N($E64)*Paramètres!$C$18,Paramètres!$D$18))</f>
        <v>64069</v>
      </c>
      <c r="M64" s="11">
        <f>MIN(N($E64),Paramètres!$C$7)*Paramètres!$C$6</f>
        <v>11746.13</v>
      </c>
      <c r="N64" s="11">
        <f>MIN(M64,I64*Paramètres!$C$8)</f>
        <v>11746.13</v>
      </c>
      <c r="O64" s="11">
        <f>I64*IF(K64="Cadre supérieur",Paramètres!$C$10,Paramètres!$C$9)</f>
        <v>37374.25</v>
      </c>
      <c r="P64" s="11">
        <f t="shared" si="5"/>
        <v>100300</v>
      </c>
      <c r="Q64" s="11">
        <f>SUMPRODUCT((P64&gt;Paramètres!$B$21:$B$27)*(P64-Paramètres!$B$21:$B$27)*Paramètres!$E$21:$E$27)</f>
        <v>9777.1</v>
      </c>
      <c r="R64" s="11">
        <f>Q64*INDEX(Paramètres!$C$31:$C$38,MIN(MAX(INT(N(J64)),0),7)+1)</f>
        <v>0</v>
      </c>
      <c r="S64" s="14">
        <f t="shared" si="6"/>
        <v>9777</v>
      </c>
      <c r="T64" s="11">
        <f>ROUND(N($E64)*Paramètres!$C$13,0)</f>
        <v>6407</v>
      </c>
      <c r="U64" s="11">
        <f>ROUND(MAX(0,N($E64)-(Q64-R64)-M64)*Paramètres!$C$12,0)</f>
        <v>1920</v>
      </c>
      <c r="V64" s="14">
        <f t="shared" si="7"/>
        <v>190123</v>
      </c>
    </row>
    <row r="65" spans="2:22" ht="17.25" customHeight="1" x14ac:dyDescent="0.35">
      <c r="B65" s="7">
        <v>59</v>
      </c>
      <c r="C65" s="8" t="s">
        <v>85</v>
      </c>
      <c r="D65" s="9">
        <v>45802</v>
      </c>
      <c r="E65" s="10">
        <v>177387</v>
      </c>
      <c r="F65" s="11">
        <f>MIN(ROUNDDOWN(N($E65)*Paramètres!$C$16,0),Paramètres!$D$16)</f>
        <v>35477</v>
      </c>
      <c r="G65" s="11">
        <f>MIN(ROUNDDOWN(N($E65)*Paramètres!$C$17,0),Paramètres!$D$17)</f>
        <v>8869</v>
      </c>
      <c r="H65" s="11">
        <f>MIN(ROUNDDOWN(N($E65)*Paramètres!$C$18,0),Paramètres!$D$18)</f>
        <v>8869</v>
      </c>
      <c r="I65" s="11">
        <f t="shared" si="4"/>
        <v>124172</v>
      </c>
      <c r="J65" s="12">
        <v>0</v>
      </c>
      <c r="K65" s="13" t="str">
        <f>IF(I65&lt;Paramètres!$C$11,"Cadre inférieur","Cadre supérieur")</f>
        <v>Cadre inférieur</v>
      </c>
      <c r="L65" s="11">
        <f>MIN(F65,MIN(N($E65)*Paramètres!$C$16,Paramètres!$D$16))+MIN(G65,MIN(N($E65)*Paramètres!$C$17,Paramètres!$D$17))+MIN(H65,MIN(N($E65)*Paramètres!$C$18,Paramètres!$D$18))</f>
        <v>53215</v>
      </c>
      <c r="M65" s="11">
        <f>MIN(N($E65),Paramètres!$C$7)*Paramètres!$C$6</f>
        <v>9756.2849999999999</v>
      </c>
      <c r="N65" s="11">
        <f>MIN(M65,I65*Paramètres!$C$8)</f>
        <v>9756.2849999999999</v>
      </c>
      <c r="O65" s="11">
        <f>I65*IF(K65="Cadre supérieur",Paramètres!$C$10,Paramètres!$C$9)</f>
        <v>31043</v>
      </c>
      <c r="P65" s="11">
        <f t="shared" si="5"/>
        <v>83300</v>
      </c>
      <c r="Q65" s="11">
        <f>SUMPRODUCT((P65&gt;Paramètres!$B$21:$B$27)*(P65-Paramètres!$B$21:$B$27)*Paramètres!$E$21:$E$27)</f>
        <v>7108.1</v>
      </c>
      <c r="R65" s="11">
        <f>Q65*INDEX(Paramètres!$C$31:$C$38,MIN(MAX(INT(N(J65)),0),7)+1)</f>
        <v>0</v>
      </c>
      <c r="S65" s="14">
        <f t="shared" si="6"/>
        <v>7108</v>
      </c>
      <c r="T65" s="11">
        <f>ROUND(N($E65)*Paramètres!$C$13,0)</f>
        <v>5322</v>
      </c>
      <c r="U65" s="11">
        <f>ROUND(MAX(0,N($E65)-(Q65-R65)-M65)*Paramètres!$C$12,0)</f>
        <v>1605</v>
      </c>
      <c r="V65" s="14">
        <f t="shared" si="7"/>
        <v>158918</v>
      </c>
    </row>
    <row r="66" spans="2:22" ht="17.25" customHeight="1" x14ac:dyDescent="0.35">
      <c r="B66" s="7">
        <v>60</v>
      </c>
      <c r="C66" s="8" t="s">
        <v>85</v>
      </c>
      <c r="D66" s="9"/>
      <c r="E66" s="10">
        <v>0</v>
      </c>
      <c r="F66" s="11">
        <f>MIN(ROUNDDOWN(N($E66)*Paramètres!$C$16,0),Paramètres!$D$16)</f>
        <v>0</v>
      </c>
      <c r="G66" s="11">
        <f>MIN(ROUNDDOWN(N($E66)*Paramètres!$C$17,0),Paramètres!$D$17)</f>
        <v>0</v>
      </c>
      <c r="H66" s="11">
        <f>MIN(ROUNDDOWN(N($E66)*Paramètres!$C$18,0),Paramètres!$D$18)</f>
        <v>0</v>
      </c>
      <c r="I66" s="11">
        <f t="shared" si="4"/>
        <v>0</v>
      </c>
      <c r="J66" s="12">
        <v>0</v>
      </c>
      <c r="K66" s="13" t="str">
        <f>IF(I66&lt;Paramètres!$C$11,"Cadre inférieur","Cadre supérieur")</f>
        <v>Cadre inférieur</v>
      </c>
      <c r="L66" s="11">
        <f>MIN(F66,MIN(N($E66)*Paramètres!$C$16,Paramètres!$D$16))+MIN(G66,MIN(N($E66)*Paramètres!$C$17,Paramètres!$D$17))+MIN(H66,MIN(N($E66)*Paramètres!$C$18,Paramètres!$D$18))</f>
        <v>0</v>
      </c>
      <c r="M66" s="11">
        <f>MIN(N($E66),Paramètres!$C$7)*Paramètres!$C$6</f>
        <v>0</v>
      </c>
      <c r="N66" s="11">
        <f>MIN(M66,I66*Paramètres!$C$8)</f>
        <v>0</v>
      </c>
      <c r="O66" s="11">
        <f>I66*IF(K66="Cadre supérieur",Paramètres!$C$10,Paramètres!$C$9)</f>
        <v>0</v>
      </c>
      <c r="P66" s="11">
        <f t="shared" si="5"/>
        <v>0</v>
      </c>
      <c r="Q66" s="11">
        <f>SUMPRODUCT((P66&gt;Paramètres!$B$21:$B$27)*(P66-Paramètres!$B$21:$B$27)*Paramètres!$E$21:$E$27)</f>
        <v>0</v>
      </c>
      <c r="R66" s="11">
        <f>Q66*INDEX(Paramètres!$C$31:$C$38,MIN(MAX(INT(N(J66)),0),7)+1)</f>
        <v>0</v>
      </c>
      <c r="S66" s="14">
        <f t="shared" si="6"/>
        <v>0</v>
      </c>
      <c r="T66" s="11">
        <f>ROUND(N($E66)*Paramètres!$C$13,0)</f>
        <v>0</v>
      </c>
      <c r="U66" s="11">
        <f>ROUND(MAX(0,N($E66)-(Q66-R66)-M66)*Paramètres!$C$12,0)</f>
        <v>0</v>
      </c>
      <c r="V66" s="14">
        <f t="shared" si="7"/>
        <v>0</v>
      </c>
    </row>
    <row r="67" spans="2:22" ht="17.25" customHeight="1" x14ac:dyDescent="0.35">
      <c r="B67" s="7">
        <v>61</v>
      </c>
      <c r="C67" s="8" t="s">
        <v>86</v>
      </c>
      <c r="D67" s="9"/>
      <c r="E67" s="10">
        <v>0</v>
      </c>
      <c r="F67" s="11">
        <f>MIN(ROUNDDOWN(N($E67)*Paramètres!$C$16,0),Paramètres!$D$16)</f>
        <v>0</v>
      </c>
      <c r="G67" s="11">
        <f>MIN(ROUNDDOWN(N($E67)*Paramètres!$C$17,0),Paramètres!$D$17)</f>
        <v>0</v>
      </c>
      <c r="H67" s="11">
        <f>MIN(ROUNDDOWN(N($E67)*Paramètres!$C$18,0),Paramètres!$D$18)</f>
        <v>0</v>
      </c>
      <c r="I67" s="11">
        <f t="shared" si="4"/>
        <v>0</v>
      </c>
      <c r="J67" s="12">
        <v>0</v>
      </c>
      <c r="K67" s="13" t="str">
        <f>IF(I67&lt;Paramètres!$C$11,"Cadre inférieur","Cadre supérieur")</f>
        <v>Cadre inférieur</v>
      </c>
      <c r="L67" s="11">
        <f>MIN(F67,MIN(N($E67)*Paramètres!$C$16,Paramètres!$D$16))+MIN(G67,MIN(N($E67)*Paramètres!$C$17,Paramètres!$D$17))+MIN(H67,MIN(N($E67)*Paramètres!$C$18,Paramètres!$D$18))</f>
        <v>0</v>
      </c>
      <c r="M67" s="11">
        <f>MIN(N($E67),Paramètres!$C$7)*Paramètres!$C$6</f>
        <v>0</v>
      </c>
      <c r="N67" s="11">
        <f>MIN(M67,I67*Paramètres!$C$8)</f>
        <v>0</v>
      </c>
      <c r="O67" s="11">
        <f>I67*IF(K67="Cadre supérieur",Paramètres!$C$10,Paramètres!$C$9)</f>
        <v>0</v>
      </c>
      <c r="P67" s="11">
        <f t="shared" si="5"/>
        <v>0</v>
      </c>
      <c r="Q67" s="11">
        <f>SUMPRODUCT((P67&gt;Paramètres!$B$21:$B$27)*(P67-Paramètres!$B$21:$B$27)*Paramètres!$E$21:$E$27)</f>
        <v>0</v>
      </c>
      <c r="R67" s="11">
        <f>Q67*INDEX(Paramètres!$C$31:$C$38,MIN(MAX(INT(N(J67)),0),7)+1)</f>
        <v>0</v>
      </c>
      <c r="S67" s="14">
        <f t="shared" si="6"/>
        <v>0</v>
      </c>
      <c r="T67" s="11">
        <f>ROUND(N($E67)*Paramètres!$C$13,0)</f>
        <v>0</v>
      </c>
      <c r="U67" s="11">
        <f>ROUND(MAX(0,N($E67)-(Q67-R67)-M67)*Paramètres!$C$12,0)</f>
        <v>0</v>
      </c>
      <c r="V67" s="14">
        <f t="shared" si="7"/>
        <v>0</v>
      </c>
    </row>
    <row r="68" spans="2:22" ht="17.25" customHeight="1" x14ac:dyDescent="0.35">
      <c r="B68" s="7">
        <v>62</v>
      </c>
      <c r="C68" s="8" t="s">
        <v>87</v>
      </c>
      <c r="D68" s="9">
        <v>45930</v>
      </c>
      <c r="E68" s="10">
        <v>471355</v>
      </c>
      <c r="F68" s="11">
        <f>MIN(ROUNDDOWN(N($E68)*Paramètres!$C$16,0),Paramètres!$D$16)</f>
        <v>75000</v>
      </c>
      <c r="G68" s="11">
        <f>MIN(ROUNDDOWN(N($E68)*Paramètres!$C$17,0),Paramètres!$D$17)</f>
        <v>23567</v>
      </c>
      <c r="H68" s="11">
        <f>MIN(ROUNDDOWN(N($E68)*Paramètres!$C$18,0),Paramètres!$D$18)</f>
        <v>23567</v>
      </c>
      <c r="I68" s="11">
        <f t="shared" si="4"/>
        <v>349221</v>
      </c>
      <c r="J68" s="12">
        <v>0</v>
      </c>
      <c r="K68" s="13" t="str">
        <f>IF(I68&lt;Paramètres!$C$11,"Cadre inférieur","Cadre supérieur")</f>
        <v>Cadre supérieur</v>
      </c>
      <c r="L68" s="11">
        <f>MIN(F68,MIN(N($E68)*Paramètres!$C$16,Paramètres!$D$16))+MIN(G68,MIN(N($E68)*Paramètres!$C$17,Paramètres!$D$17))+MIN(H68,MIN(N($E68)*Paramètres!$C$18,Paramètres!$D$18))</f>
        <v>122134</v>
      </c>
      <c r="M68" s="11">
        <f>MIN(N($E68),Paramètres!$C$7)*Paramètres!$C$6</f>
        <v>25924.525000000001</v>
      </c>
      <c r="N68" s="11">
        <f>MIN(M68,I68*Paramètres!$C$8)</f>
        <v>25924.525000000001</v>
      </c>
      <c r="O68" s="11">
        <f>I68*IF(K68="Cadre supérieur",Paramètres!$C$10,Paramètres!$C$9)</f>
        <v>69844.2</v>
      </c>
      <c r="P68" s="11">
        <f t="shared" si="5"/>
        <v>253400</v>
      </c>
      <c r="Q68" s="11">
        <f>SUMPRODUCT((P68&gt;Paramètres!$B$21:$B$27)*(P68-Paramètres!$B$21:$B$27)*Paramètres!$E$21:$E$27)</f>
        <v>40280</v>
      </c>
      <c r="R68" s="11">
        <f>Q68*INDEX(Paramètres!$C$31:$C$38,MIN(MAX(INT(N(J68)),0),7)+1)</f>
        <v>0</v>
      </c>
      <c r="S68" s="14">
        <f t="shared" si="6"/>
        <v>40280</v>
      </c>
      <c r="T68" s="11">
        <f>ROUND(N($E68)*Paramètres!$C$13,0)</f>
        <v>14141</v>
      </c>
      <c r="U68" s="11">
        <f>ROUND(MAX(0,N($E68)-(Q68-R68)-M68)*Paramètres!$C$12,0)</f>
        <v>4052</v>
      </c>
      <c r="V68" s="14">
        <f t="shared" si="7"/>
        <v>401098</v>
      </c>
    </row>
    <row r="69" spans="2:22" ht="17.25" customHeight="1" x14ac:dyDescent="0.35">
      <c r="B69" s="7">
        <v>63</v>
      </c>
      <c r="C69" s="8" t="s">
        <v>88</v>
      </c>
      <c r="D69" s="9">
        <v>45778</v>
      </c>
      <c r="E69" s="10">
        <v>231913</v>
      </c>
      <c r="F69" s="11">
        <f>MIN(ROUNDDOWN(N($E69)*Paramètres!$C$16,0),Paramètres!$D$16)</f>
        <v>46382</v>
      </c>
      <c r="G69" s="11">
        <f>MIN(ROUNDDOWN(N($E69)*Paramètres!$C$17,0),Paramètres!$D$17)</f>
        <v>11595</v>
      </c>
      <c r="H69" s="11">
        <f>MIN(ROUNDDOWN(N($E69)*Paramètres!$C$18,0),Paramètres!$D$18)</f>
        <v>11595</v>
      </c>
      <c r="I69" s="11">
        <f t="shared" si="4"/>
        <v>162341</v>
      </c>
      <c r="J69" s="12">
        <v>0</v>
      </c>
      <c r="K69" s="13" t="str">
        <f>IF(I69&lt;Paramètres!$C$11,"Cadre inférieur","Cadre supérieur")</f>
        <v>Cadre supérieur</v>
      </c>
      <c r="L69" s="11">
        <f>MIN(F69,MIN(N($E69)*Paramètres!$C$16,Paramètres!$D$16))+MIN(G69,MIN(N($E69)*Paramètres!$C$17,Paramètres!$D$17))+MIN(H69,MIN(N($E69)*Paramètres!$C$18,Paramètres!$D$18))</f>
        <v>69572</v>
      </c>
      <c r="M69" s="11">
        <f>MIN(N($E69),Paramètres!$C$7)*Paramètres!$C$6</f>
        <v>12755.215</v>
      </c>
      <c r="N69" s="11">
        <f>MIN(M69,I69*Paramètres!$C$8)</f>
        <v>12755.215</v>
      </c>
      <c r="O69" s="11">
        <f>I69*IF(K69="Cadre supérieur",Paramètres!$C$10,Paramètres!$C$9)</f>
        <v>32468.2</v>
      </c>
      <c r="P69" s="11">
        <f t="shared" si="5"/>
        <v>117100</v>
      </c>
      <c r="Q69" s="11">
        <f>SUMPRODUCT((P69&gt;Paramètres!$B$21:$B$27)*(P69-Paramètres!$B$21:$B$27)*Paramètres!$E$21:$E$27)</f>
        <v>12414.7</v>
      </c>
      <c r="R69" s="11">
        <f>Q69*INDEX(Paramètres!$C$31:$C$38,MIN(MAX(INT(N(J69)),0),7)+1)</f>
        <v>0</v>
      </c>
      <c r="S69" s="14">
        <f t="shared" si="6"/>
        <v>12415</v>
      </c>
      <c r="T69" s="11">
        <f>ROUND(N($E69)*Paramètres!$C$13,0)</f>
        <v>6957</v>
      </c>
      <c r="U69" s="11">
        <f>ROUND(MAX(0,N($E69)-(Q69-R69)-M69)*Paramètres!$C$12,0)</f>
        <v>2067</v>
      </c>
      <c r="V69" s="14">
        <f t="shared" si="7"/>
        <v>204676</v>
      </c>
    </row>
    <row r="70" spans="2:22" ht="17.25" customHeight="1" x14ac:dyDescent="0.35">
      <c r="B70" s="7">
        <v>64</v>
      </c>
      <c r="C70" s="8" t="s">
        <v>89</v>
      </c>
      <c r="D70" s="9">
        <v>45778</v>
      </c>
      <c r="E70" s="10">
        <v>213566</v>
      </c>
      <c r="F70" s="11">
        <f>MIN(ROUNDDOWN(N($E70)*Paramètres!$C$16,0),Paramètres!$D$16)</f>
        <v>42713</v>
      </c>
      <c r="G70" s="11">
        <f>MIN(ROUNDDOWN(N($E70)*Paramètres!$C$17,0),Paramètres!$D$17)</f>
        <v>10678</v>
      </c>
      <c r="H70" s="11">
        <f>MIN(ROUNDDOWN(N($E70)*Paramètres!$C$18,0),Paramètres!$D$18)</f>
        <v>10678</v>
      </c>
      <c r="I70" s="11">
        <f t="shared" si="4"/>
        <v>149497</v>
      </c>
      <c r="J70" s="12">
        <v>0</v>
      </c>
      <c r="K70" s="13" t="str">
        <f>IF(I70&lt;Paramètres!$C$11,"Cadre inférieur","Cadre supérieur")</f>
        <v>Cadre inférieur</v>
      </c>
      <c r="L70" s="11">
        <f>MIN(F70,MIN(N($E70)*Paramètres!$C$16,Paramètres!$D$16))+MIN(G70,MIN(N($E70)*Paramètres!$C$17,Paramètres!$D$17))+MIN(H70,MIN(N($E70)*Paramètres!$C$18,Paramètres!$D$18))</f>
        <v>64069</v>
      </c>
      <c r="M70" s="11">
        <f>MIN(N($E70),Paramètres!$C$7)*Paramètres!$C$6</f>
        <v>11746.13</v>
      </c>
      <c r="N70" s="11">
        <f>MIN(M70,I70*Paramètres!$C$8)</f>
        <v>11746.13</v>
      </c>
      <c r="O70" s="11">
        <f>I70*IF(K70="Cadre supérieur",Paramètres!$C$10,Paramètres!$C$9)</f>
        <v>37374.25</v>
      </c>
      <c r="P70" s="11">
        <f t="shared" si="5"/>
        <v>100300</v>
      </c>
      <c r="Q70" s="11">
        <f>SUMPRODUCT((P70&gt;Paramètres!$B$21:$B$27)*(P70-Paramètres!$B$21:$B$27)*Paramètres!$E$21:$E$27)</f>
        <v>9777.1</v>
      </c>
      <c r="R70" s="11">
        <f>Q70*INDEX(Paramètres!$C$31:$C$38,MIN(MAX(INT(N(J70)),0),7)+1)</f>
        <v>0</v>
      </c>
      <c r="S70" s="14">
        <f t="shared" si="6"/>
        <v>9777</v>
      </c>
      <c r="T70" s="11">
        <f>ROUND(N($E70)*Paramètres!$C$13,0)</f>
        <v>6407</v>
      </c>
      <c r="U70" s="11">
        <f>ROUND(MAX(0,N($E70)-(Q70-R70)-M70)*Paramètres!$C$12,0)</f>
        <v>1920</v>
      </c>
      <c r="V70" s="14">
        <f t="shared" si="7"/>
        <v>190123</v>
      </c>
    </row>
    <row r="71" spans="2:22" ht="17.25" customHeight="1" x14ac:dyDescent="0.35">
      <c r="B71" s="7">
        <v>65</v>
      </c>
      <c r="C71" s="8" t="s">
        <v>90</v>
      </c>
      <c r="D71" s="9">
        <v>45778</v>
      </c>
      <c r="E71" s="10">
        <v>213566</v>
      </c>
      <c r="F71" s="11">
        <f>MIN(ROUNDDOWN(N($E71)*Paramètres!$C$16,0),Paramètres!$D$16)</f>
        <v>42713</v>
      </c>
      <c r="G71" s="11">
        <f>MIN(ROUNDDOWN(N($E71)*Paramètres!$C$17,0),Paramètres!$D$17)</f>
        <v>10678</v>
      </c>
      <c r="H71" s="11">
        <f>MIN(ROUNDDOWN(N($E71)*Paramètres!$C$18,0),Paramètres!$D$18)</f>
        <v>10678</v>
      </c>
      <c r="I71" s="11">
        <f t="shared" ref="I71:I99" si="8">N($E71)-(F71+G71+H71)</f>
        <v>149497</v>
      </c>
      <c r="J71" s="12">
        <v>0</v>
      </c>
      <c r="K71" s="13" t="str">
        <f>IF(I71&lt;Paramètres!$C$11,"Cadre inférieur","Cadre supérieur")</f>
        <v>Cadre inférieur</v>
      </c>
      <c r="L71" s="11">
        <f>MIN(F71,MIN(N($E71)*Paramètres!$C$16,Paramètres!$D$16))+MIN(G71,MIN(N($E71)*Paramètres!$C$17,Paramètres!$D$17))+MIN(H71,MIN(N($E71)*Paramètres!$C$18,Paramètres!$D$18))</f>
        <v>64069</v>
      </c>
      <c r="M71" s="11">
        <f>MIN(N($E71),Paramètres!$C$7)*Paramètres!$C$6</f>
        <v>11746.13</v>
      </c>
      <c r="N71" s="11">
        <f>MIN(M71,I71*Paramètres!$C$8)</f>
        <v>11746.13</v>
      </c>
      <c r="O71" s="11">
        <f>I71*IF(K71="Cadre supérieur",Paramètres!$C$10,Paramètres!$C$9)</f>
        <v>37374.25</v>
      </c>
      <c r="P71" s="11">
        <f t="shared" ref="P71:P99" si="9">MAX(0,ROUNDDOWN(N($E71)-L71-N71-O71,-2))</f>
        <v>100300</v>
      </c>
      <c r="Q71" s="11">
        <f>SUMPRODUCT((P71&gt;Paramètres!$B$21:$B$27)*(P71-Paramètres!$B$21:$B$27)*Paramètres!$E$21:$E$27)</f>
        <v>9777.1</v>
      </c>
      <c r="R71" s="11">
        <f>Q71*INDEX(Paramètres!$C$31:$C$38,MIN(MAX(INT(N(J71)),0),7)+1)</f>
        <v>0</v>
      </c>
      <c r="S71" s="14">
        <f t="shared" ref="S71:S99" si="10">ROUND(Q71-R71,0)</f>
        <v>9777</v>
      </c>
      <c r="T71" s="11">
        <f>ROUND(N($E71)*Paramètres!$C$13,0)</f>
        <v>6407</v>
      </c>
      <c r="U71" s="11">
        <f>ROUND(MAX(0,N($E71)-(Q71-R71)-M71)*Paramètres!$C$12,0)</f>
        <v>1920</v>
      </c>
      <c r="V71" s="14">
        <f t="shared" ref="V71:V99" si="11">ROUND(N($E71)-M71-S71-U71,0)</f>
        <v>190123</v>
      </c>
    </row>
    <row r="72" spans="2:22" ht="17.25" customHeight="1" x14ac:dyDescent="0.35">
      <c r="B72" s="7">
        <v>66</v>
      </c>
      <c r="C72" s="8" t="s">
        <v>91</v>
      </c>
      <c r="D72" s="9">
        <v>45806</v>
      </c>
      <c r="E72" s="10">
        <v>135983</v>
      </c>
      <c r="F72" s="11">
        <f>MIN(ROUNDDOWN(N($E72)*Paramètres!$C$16,0),Paramètres!$D$16)</f>
        <v>27196</v>
      </c>
      <c r="G72" s="11">
        <f>MIN(ROUNDDOWN(N($E72)*Paramètres!$C$17,0),Paramètres!$D$17)</f>
        <v>6799</v>
      </c>
      <c r="H72" s="11">
        <f>MIN(ROUNDDOWN(N($E72)*Paramètres!$C$18,0),Paramètres!$D$18)</f>
        <v>6799</v>
      </c>
      <c r="I72" s="11">
        <f t="shared" si="8"/>
        <v>95189</v>
      </c>
      <c r="J72" s="12">
        <v>0</v>
      </c>
      <c r="K72" s="13" t="str">
        <f>IF(I72&lt;Paramètres!$C$11,"Cadre inférieur","Cadre supérieur")</f>
        <v>Cadre inférieur</v>
      </c>
      <c r="L72" s="11">
        <f>MIN(F72,MIN(N($E72)*Paramètres!$C$16,Paramètres!$D$16))+MIN(G72,MIN(N($E72)*Paramètres!$C$17,Paramètres!$D$17))+MIN(H72,MIN(N($E72)*Paramètres!$C$18,Paramètres!$D$18))</f>
        <v>40794</v>
      </c>
      <c r="M72" s="11">
        <f>MIN(N($E72),Paramètres!$C$7)*Paramètres!$C$6</f>
        <v>7479.0649999999996</v>
      </c>
      <c r="N72" s="11">
        <f>MIN(M72,I72*Paramètres!$C$8)</f>
        <v>7479.0649999999996</v>
      </c>
      <c r="O72" s="11">
        <f>I72*IF(K72="Cadre supérieur",Paramètres!$C$10,Paramètres!$C$9)</f>
        <v>23797.25</v>
      </c>
      <c r="P72" s="11">
        <f t="shared" si="9"/>
        <v>63900</v>
      </c>
      <c r="Q72" s="11">
        <f>SUMPRODUCT((P72&gt;Paramètres!$B$21:$B$27)*(P72-Paramètres!$B$21:$B$27)*Paramètres!$E$21:$E$27)</f>
        <v>4352.0999999999995</v>
      </c>
      <c r="R72" s="11">
        <f>Q72*INDEX(Paramètres!$C$31:$C$38,MIN(MAX(INT(N(J72)),0),7)+1)</f>
        <v>0</v>
      </c>
      <c r="S72" s="14">
        <f t="shared" si="10"/>
        <v>4352</v>
      </c>
      <c r="T72" s="11">
        <f>ROUND(N($E72)*Paramètres!$C$13,0)</f>
        <v>4079</v>
      </c>
      <c r="U72" s="11">
        <f>ROUND(MAX(0,N($E72)-(Q72-R72)-M72)*Paramètres!$C$12,0)</f>
        <v>1242</v>
      </c>
      <c r="V72" s="14">
        <f t="shared" si="11"/>
        <v>122910</v>
      </c>
    </row>
    <row r="73" spans="2:22" ht="17.25" customHeight="1" x14ac:dyDescent="0.35">
      <c r="B73" s="7">
        <v>67</v>
      </c>
      <c r="C73" s="8" t="s">
        <v>92</v>
      </c>
      <c r="D73" s="9">
        <v>46174</v>
      </c>
      <c r="E73" s="10">
        <v>213563</v>
      </c>
      <c r="F73" s="11">
        <f>MIN(ROUNDDOWN(N($E73)*Paramètres!$C$16,0),Paramètres!$D$16)</f>
        <v>42712</v>
      </c>
      <c r="G73" s="11">
        <f>MIN(ROUNDDOWN(N($E73)*Paramètres!$C$17,0),Paramètres!$D$17)</f>
        <v>10678</v>
      </c>
      <c r="H73" s="11">
        <f>MIN(ROUNDDOWN(N($E73)*Paramètres!$C$18,0),Paramètres!$D$18)</f>
        <v>10678</v>
      </c>
      <c r="I73" s="11">
        <f t="shared" si="8"/>
        <v>149495</v>
      </c>
      <c r="J73" s="12">
        <v>0</v>
      </c>
      <c r="K73" s="13" t="str">
        <f>IF(I73&lt;Paramètres!$C$11,"Cadre inférieur","Cadre supérieur")</f>
        <v>Cadre inférieur</v>
      </c>
      <c r="L73" s="11">
        <f>MIN(F73,MIN(N($E73)*Paramètres!$C$16,Paramètres!$D$16))+MIN(G73,MIN(N($E73)*Paramètres!$C$17,Paramètres!$D$17))+MIN(H73,MIN(N($E73)*Paramètres!$C$18,Paramètres!$D$18))</f>
        <v>64068</v>
      </c>
      <c r="M73" s="11">
        <f>MIN(N($E73),Paramètres!$C$7)*Paramètres!$C$6</f>
        <v>11745.965</v>
      </c>
      <c r="N73" s="11">
        <f>MIN(M73,I73*Paramètres!$C$8)</f>
        <v>11745.965</v>
      </c>
      <c r="O73" s="11">
        <f>I73*IF(K73="Cadre supérieur",Paramètres!$C$10,Paramètres!$C$9)</f>
        <v>37373.75</v>
      </c>
      <c r="P73" s="11">
        <f t="shared" si="9"/>
        <v>100300</v>
      </c>
      <c r="Q73" s="11">
        <f>SUMPRODUCT((P73&gt;Paramètres!$B$21:$B$27)*(P73-Paramètres!$B$21:$B$27)*Paramètres!$E$21:$E$27)</f>
        <v>9777.1</v>
      </c>
      <c r="R73" s="11">
        <f>Q73*INDEX(Paramètres!$C$31:$C$38,MIN(MAX(INT(N(J73)),0),7)+1)</f>
        <v>0</v>
      </c>
      <c r="S73" s="14">
        <f t="shared" si="10"/>
        <v>9777</v>
      </c>
      <c r="T73" s="11">
        <f>ROUND(N($E73)*Paramètres!$C$13,0)</f>
        <v>6407</v>
      </c>
      <c r="U73" s="11">
        <f>ROUND(MAX(0,N($E73)-(Q73-R73)-M73)*Paramètres!$C$12,0)</f>
        <v>1920</v>
      </c>
      <c r="V73" s="14">
        <f t="shared" si="11"/>
        <v>190120</v>
      </c>
    </row>
    <row r="74" spans="2:22" ht="17.25" customHeight="1" x14ac:dyDescent="0.35">
      <c r="B74" s="7">
        <v>68</v>
      </c>
      <c r="C74" s="8" t="s">
        <v>93</v>
      </c>
      <c r="D74" s="9">
        <v>45930</v>
      </c>
      <c r="E74" s="10">
        <v>165340</v>
      </c>
      <c r="F74" s="11">
        <f>MIN(ROUNDDOWN(N($E74)*Paramètres!$C$16,0),Paramètres!$D$16)</f>
        <v>33068</v>
      </c>
      <c r="G74" s="11">
        <f>MIN(ROUNDDOWN(N($E74)*Paramètres!$C$17,0),Paramètres!$D$17)</f>
        <v>8267</v>
      </c>
      <c r="H74" s="11">
        <f>MIN(ROUNDDOWN(N($E74)*Paramètres!$C$18,0),Paramètres!$D$18)</f>
        <v>8267</v>
      </c>
      <c r="I74" s="11">
        <f t="shared" si="8"/>
        <v>115738</v>
      </c>
      <c r="J74" s="12">
        <v>0</v>
      </c>
      <c r="K74" s="13" t="str">
        <f>IF(I74&lt;Paramètres!$C$11,"Cadre inférieur","Cadre supérieur")</f>
        <v>Cadre inférieur</v>
      </c>
      <c r="L74" s="11">
        <f>MIN(F74,MIN(N($E74)*Paramètres!$C$16,Paramètres!$D$16))+MIN(G74,MIN(N($E74)*Paramètres!$C$17,Paramètres!$D$17))+MIN(H74,MIN(N($E74)*Paramètres!$C$18,Paramètres!$D$18))</f>
        <v>49602</v>
      </c>
      <c r="M74" s="11">
        <f>MIN(N($E74),Paramètres!$C$7)*Paramètres!$C$6</f>
        <v>9093.7000000000007</v>
      </c>
      <c r="N74" s="11">
        <f>MIN(M74,I74*Paramètres!$C$8)</f>
        <v>9093.7000000000007</v>
      </c>
      <c r="O74" s="11">
        <f>I74*IF(K74="Cadre supérieur",Paramètres!$C$10,Paramètres!$C$9)</f>
        <v>28934.5</v>
      </c>
      <c r="P74" s="11">
        <f t="shared" si="9"/>
        <v>77700</v>
      </c>
      <c r="Q74" s="11">
        <f>SUMPRODUCT((P74&gt;Paramètres!$B$21:$B$27)*(P74-Paramètres!$B$21:$B$27)*Paramètres!$E$21:$E$27)</f>
        <v>6270.3</v>
      </c>
      <c r="R74" s="11">
        <f>Q74*INDEX(Paramètres!$C$31:$C$38,MIN(MAX(INT(N(J74)),0),7)+1)</f>
        <v>0</v>
      </c>
      <c r="S74" s="14">
        <f t="shared" si="10"/>
        <v>6270</v>
      </c>
      <c r="T74" s="11">
        <f>ROUND(N($E74)*Paramètres!$C$13,0)</f>
        <v>4960</v>
      </c>
      <c r="U74" s="11">
        <f>ROUND(MAX(0,N($E74)-(Q74-R74)-M74)*Paramètres!$C$12,0)</f>
        <v>1500</v>
      </c>
      <c r="V74" s="14">
        <f t="shared" si="11"/>
        <v>148476</v>
      </c>
    </row>
    <row r="75" spans="2:22" ht="17.25" customHeight="1" x14ac:dyDescent="0.35">
      <c r="B75" s="7">
        <v>69</v>
      </c>
      <c r="C75" s="8" t="s">
        <v>94</v>
      </c>
      <c r="D75" s="9">
        <v>45912</v>
      </c>
      <c r="E75" s="10">
        <v>213566</v>
      </c>
      <c r="F75" s="11">
        <f>MIN(ROUNDDOWN(N($E75)*Paramètres!$C$16,0),Paramètres!$D$16)</f>
        <v>42713</v>
      </c>
      <c r="G75" s="11">
        <f>MIN(ROUNDDOWN(N($E75)*Paramètres!$C$17,0),Paramètres!$D$17)</f>
        <v>10678</v>
      </c>
      <c r="H75" s="11">
        <f>MIN(ROUNDDOWN(N($E75)*Paramètres!$C$18,0),Paramètres!$D$18)</f>
        <v>10678</v>
      </c>
      <c r="I75" s="11">
        <f t="shared" si="8"/>
        <v>149497</v>
      </c>
      <c r="J75" s="12">
        <v>0</v>
      </c>
      <c r="K75" s="13" t="str">
        <f>IF(I75&lt;Paramètres!$C$11,"Cadre inférieur","Cadre supérieur")</f>
        <v>Cadre inférieur</v>
      </c>
      <c r="L75" s="11">
        <f>MIN(F75,MIN(N($E75)*Paramètres!$C$16,Paramètres!$D$16))+MIN(G75,MIN(N($E75)*Paramètres!$C$17,Paramètres!$D$17))+MIN(H75,MIN(N($E75)*Paramètres!$C$18,Paramètres!$D$18))</f>
        <v>64069</v>
      </c>
      <c r="M75" s="11">
        <f>MIN(N($E75),Paramètres!$C$7)*Paramètres!$C$6</f>
        <v>11746.13</v>
      </c>
      <c r="N75" s="11">
        <f>MIN(M75,I75*Paramètres!$C$8)</f>
        <v>11746.13</v>
      </c>
      <c r="O75" s="11">
        <f>I75*IF(K75="Cadre supérieur",Paramètres!$C$10,Paramètres!$C$9)</f>
        <v>37374.25</v>
      </c>
      <c r="P75" s="11">
        <f t="shared" si="9"/>
        <v>100300</v>
      </c>
      <c r="Q75" s="11">
        <f>SUMPRODUCT((P75&gt;Paramètres!$B$21:$B$27)*(P75-Paramètres!$B$21:$B$27)*Paramètres!$E$21:$E$27)</f>
        <v>9777.1</v>
      </c>
      <c r="R75" s="11">
        <f>Q75*INDEX(Paramètres!$C$31:$C$38,MIN(MAX(INT(N(J75)),0),7)+1)</f>
        <v>0</v>
      </c>
      <c r="S75" s="14">
        <f t="shared" si="10"/>
        <v>9777</v>
      </c>
      <c r="T75" s="11">
        <f>ROUND(N($E75)*Paramètres!$C$13,0)</f>
        <v>6407</v>
      </c>
      <c r="U75" s="11">
        <f>ROUND(MAX(0,N($E75)-(Q75-R75)-M75)*Paramètres!$C$12,0)</f>
        <v>1920</v>
      </c>
      <c r="V75" s="14">
        <f t="shared" si="11"/>
        <v>190123</v>
      </c>
    </row>
    <row r="76" spans="2:22" ht="17.25" customHeight="1" x14ac:dyDescent="0.35">
      <c r="B76" s="7">
        <v>70</v>
      </c>
      <c r="C76" s="8" t="s">
        <v>95</v>
      </c>
      <c r="D76" s="9">
        <v>46183</v>
      </c>
      <c r="E76" s="10">
        <v>80000</v>
      </c>
      <c r="F76" s="11">
        <f>MIN(ROUNDDOWN(N($E76)*Paramètres!$C$16,0),Paramètres!$D$16)</f>
        <v>16000</v>
      </c>
      <c r="G76" s="11">
        <f>MIN(ROUNDDOWN(N($E76)*Paramètres!$C$17,0),Paramètres!$D$17)</f>
        <v>4000</v>
      </c>
      <c r="H76" s="11">
        <f>MIN(ROUNDDOWN(N($E76)*Paramètres!$C$18,0),Paramètres!$D$18)</f>
        <v>4000</v>
      </c>
      <c r="I76" s="11">
        <f t="shared" si="8"/>
        <v>56000</v>
      </c>
      <c r="J76" s="12">
        <v>0</v>
      </c>
      <c r="K76" s="13" t="str">
        <f>IF(I76&lt;Paramètres!$C$11,"Cadre inférieur","Cadre supérieur")</f>
        <v>Cadre inférieur</v>
      </c>
      <c r="L76" s="11">
        <f>MIN(F76,MIN(N($E76)*Paramètres!$C$16,Paramètres!$D$16))+MIN(G76,MIN(N($E76)*Paramètres!$C$17,Paramètres!$D$17))+MIN(H76,MIN(N($E76)*Paramètres!$C$18,Paramètres!$D$18))</f>
        <v>24000</v>
      </c>
      <c r="M76" s="11">
        <f>MIN(N($E76),Paramètres!$C$7)*Paramètres!$C$6</f>
        <v>4400</v>
      </c>
      <c r="N76" s="11">
        <f>MIN(M76,I76*Paramètres!$C$8)</f>
        <v>4400</v>
      </c>
      <c r="O76" s="11">
        <f>I76*IF(K76="Cadre supérieur",Paramètres!$C$10,Paramètres!$C$9)</f>
        <v>14000</v>
      </c>
      <c r="P76" s="11">
        <f t="shared" si="9"/>
        <v>37600</v>
      </c>
      <c r="Q76" s="11">
        <f>SUMPRODUCT((P76&gt;Paramètres!$B$21:$B$27)*(P76-Paramètres!$B$21:$B$27)*Paramètres!$E$21:$E$27)</f>
        <v>919.6</v>
      </c>
      <c r="R76" s="11">
        <f>Q76*INDEX(Paramètres!$C$31:$C$38,MIN(MAX(INT(N(J76)),0),7)+1)</f>
        <v>0</v>
      </c>
      <c r="S76" s="14">
        <f t="shared" si="10"/>
        <v>920</v>
      </c>
      <c r="T76" s="11">
        <f>ROUND(N($E76)*Paramètres!$C$13,0)</f>
        <v>2400</v>
      </c>
      <c r="U76" s="11">
        <f>ROUND(MAX(0,N($E76)-(Q76-R76)-M76)*Paramètres!$C$12,0)</f>
        <v>747</v>
      </c>
      <c r="V76" s="14">
        <f t="shared" si="11"/>
        <v>73933</v>
      </c>
    </row>
    <row r="77" spans="2:22" ht="17.25" customHeight="1" x14ac:dyDescent="0.35">
      <c r="B77" s="7">
        <v>71</v>
      </c>
      <c r="C77" s="8" t="s">
        <v>96</v>
      </c>
      <c r="D77" s="20">
        <v>46023</v>
      </c>
      <c r="E77" s="10">
        <v>135983</v>
      </c>
      <c r="F77" s="11">
        <f>MIN(ROUNDDOWN(N($E77)*Paramètres!$C$16,0),Paramètres!$D$16)</f>
        <v>27196</v>
      </c>
      <c r="G77" s="11">
        <f>MIN(ROUNDDOWN(N($E77)*Paramètres!$C$17,0),Paramètres!$D$17)</f>
        <v>6799</v>
      </c>
      <c r="H77" s="11">
        <f>MIN(ROUNDDOWN(N($E77)*Paramètres!$C$18,0),Paramètres!$D$18)</f>
        <v>6799</v>
      </c>
      <c r="I77" s="11">
        <f t="shared" si="8"/>
        <v>95189</v>
      </c>
      <c r="J77" s="12">
        <v>0</v>
      </c>
      <c r="K77" s="13" t="str">
        <f>IF(I77&lt;Paramètres!$C$11,"Cadre inférieur","Cadre supérieur")</f>
        <v>Cadre inférieur</v>
      </c>
      <c r="L77" s="11">
        <f>MIN(F77,MIN(N($E77)*Paramètres!$C$16,Paramètres!$D$16))+MIN(G77,MIN(N($E77)*Paramètres!$C$17,Paramètres!$D$17))+MIN(H77,MIN(N($E77)*Paramètres!$C$18,Paramètres!$D$18))</f>
        <v>40794</v>
      </c>
      <c r="M77" s="11">
        <f>MIN(N($E77),Paramètres!$C$7)*Paramètres!$C$6</f>
        <v>7479.0649999999996</v>
      </c>
      <c r="N77" s="11">
        <f>MIN(M77,I77*Paramètres!$C$8)</f>
        <v>7479.0649999999996</v>
      </c>
      <c r="O77" s="11">
        <f>I77*IF(K77="Cadre supérieur",Paramètres!$C$10,Paramètres!$C$9)</f>
        <v>23797.25</v>
      </c>
      <c r="P77" s="11">
        <f t="shared" si="9"/>
        <v>63900</v>
      </c>
      <c r="Q77" s="11">
        <f>SUMPRODUCT((P77&gt;Paramètres!$B$21:$B$27)*(P77-Paramètres!$B$21:$B$27)*Paramètres!$E$21:$E$27)</f>
        <v>4352.0999999999995</v>
      </c>
      <c r="R77" s="11">
        <f>Q77*INDEX(Paramètres!$C$31:$C$38,MIN(MAX(INT(N(J77)),0),7)+1)</f>
        <v>0</v>
      </c>
      <c r="S77" s="14">
        <f t="shared" si="10"/>
        <v>4352</v>
      </c>
      <c r="T77" s="11">
        <f>ROUND(N($E77)*Paramètres!$C$13,0)</f>
        <v>4079</v>
      </c>
      <c r="U77" s="11">
        <f>ROUND(MAX(0,N($E77)-(Q77-R77)-M77)*Paramètres!$C$12,0)</f>
        <v>1242</v>
      </c>
      <c r="V77" s="14">
        <f t="shared" si="11"/>
        <v>122910</v>
      </c>
    </row>
    <row r="78" spans="2:22" ht="17.25" customHeight="1" x14ac:dyDescent="0.35">
      <c r="B78" s="7">
        <v>72</v>
      </c>
      <c r="C78" s="8" t="s">
        <v>97</v>
      </c>
      <c r="D78" s="9">
        <v>46204</v>
      </c>
      <c r="E78" s="10">
        <v>0</v>
      </c>
      <c r="F78" s="11">
        <f>MIN(ROUNDDOWN(N($E78)*Paramètres!$C$16,0),Paramètres!$D$16)</f>
        <v>0</v>
      </c>
      <c r="G78" s="11">
        <f>MIN(ROUNDDOWN(N($E78)*Paramètres!$C$17,0),Paramètres!$D$17)</f>
        <v>0</v>
      </c>
      <c r="H78" s="11">
        <f>MIN(ROUNDDOWN(N($E78)*Paramètres!$C$18,0),Paramètres!$D$18)</f>
        <v>0</v>
      </c>
      <c r="I78" s="11">
        <f t="shared" si="8"/>
        <v>0</v>
      </c>
      <c r="J78" s="12">
        <v>0</v>
      </c>
      <c r="K78" s="13" t="str">
        <f>IF(I78&lt;Paramètres!$C$11,"Cadre inférieur","Cadre supérieur")</f>
        <v>Cadre inférieur</v>
      </c>
      <c r="L78" s="11">
        <f>MIN(F78,MIN(N($E78)*Paramètres!$C$16,Paramètres!$D$16))+MIN(G78,MIN(N($E78)*Paramètres!$C$17,Paramètres!$D$17))+MIN(H78,MIN(N($E78)*Paramètres!$C$18,Paramètres!$D$18))</f>
        <v>0</v>
      </c>
      <c r="M78" s="11">
        <f>MIN(N($E78),Paramètres!$C$7)*Paramètres!$C$6</f>
        <v>0</v>
      </c>
      <c r="N78" s="11">
        <f>MIN(M78,I78*Paramètres!$C$8)</f>
        <v>0</v>
      </c>
      <c r="O78" s="11">
        <f>I78*IF(K78="Cadre supérieur",Paramètres!$C$10,Paramètres!$C$9)</f>
        <v>0</v>
      </c>
      <c r="P78" s="11">
        <f t="shared" si="9"/>
        <v>0</v>
      </c>
      <c r="Q78" s="11">
        <f>SUMPRODUCT((P78&gt;Paramètres!$B$21:$B$27)*(P78-Paramètres!$B$21:$B$27)*Paramètres!$E$21:$E$27)</f>
        <v>0</v>
      </c>
      <c r="R78" s="11">
        <f>Q78*INDEX(Paramètres!$C$31:$C$38,MIN(MAX(INT(N(J78)),0),7)+1)</f>
        <v>0</v>
      </c>
      <c r="S78" s="14">
        <f t="shared" si="10"/>
        <v>0</v>
      </c>
      <c r="T78" s="11">
        <f>ROUND(N($E78)*Paramètres!$C$13,0)</f>
        <v>0</v>
      </c>
      <c r="U78" s="11">
        <f>ROUND(MAX(0,N($E78)-(Q78-R78)-M78)*Paramètres!$C$12,0)</f>
        <v>0</v>
      </c>
      <c r="V78" s="14">
        <f t="shared" si="11"/>
        <v>0</v>
      </c>
    </row>
    <row r="79" spans="2:22" ht="17.25" customHeight="1" x14ac:dyDescent="0.35">
      <c r="B79" s="7">
        <v>73</v>
      </c>
      <c r="C79" s="8" t="s">
        <v>98</v>
      </c>
      <c r="D79" s="9">
        <v>45778</v>
      </c>
      <c r="E79" s="10">
        <v>471355</v>
      </c>
      <c r="F79" s="11">
        <f>MIN(ROUNDDOWN(N($E79)*Paramètres!$C$16,0),Paramètres!$D$16)</f>
        <v>75000</v>
      </c>
      <c r="G79" s="11">
        <f>MIN(ROUNDDOWN(N($E79)*Paramètres!$C$17,0),Paramètres!$D$17)</f>
        <v>23567</v>
      </c>
      <c r="H79" s="11">
        <f>MIN(ROUNDDOWN(N($E79)*Paramètres!$C$18,0),Paramètres!$D$18)</f>
        <v>23567</v>
      </c>
      <c r="I79" s="11">
        <f t="shared" si="8"/>
        <v>349221</v>
      </c>
      <c r="J79" s="12">
        <v>0</v>
      </c>
      <c r="K79" s="13" t="str">
        <f>IF(I79&lt;Paramètres!$C$11,"Cadre inférieur","Cadre supérieur")</f>
        <v>Cadre supérieur</v>
      </c>
      <c r="L79" s="11">
        <f>MIN(F79,MIN(N($E79)*Paramètres!$C$16,Paramètres!$D$16))+MIN(G79,MIN(N($E79)*Paramètres!$C$17,Paramètres!$D$17))+MIN(H79,MIN(N($E79)*Paramètres!$C$18,Paramètres!$D$18))</f>
        <v>122134</v>
      </c>
      <c r="M79" s="11">
        <f>MIN(N($E79),Paramètres!$C$7)*Paramètres!$C$6</f>
        <v>25924.525000000001</v>
      </c>
      <c r="N79" s="11">
        <f>MIN(M79,I79*Paramètres!$C$8)</f>
        <v>25924.525000000001</v>
      </c>
      <c r="O79" s="11">
        <f>I79*IF(K79="Cadre supérieur",Paramètres!$C$10,Paramètres!$C$9)</f>
        <v>69844.2</v>
      </c>
      <c r="P79" s="11">
        <f t="shared" si="9"/>
        <v>253400</v>
      </c>
      <c r="Q79" s="11">
        <f>SUMPRODUCT((P79&gt;Paramètres!$B$21:$B$27)*(P79-Paramètres!$B$21:$B$27)*Paramètres!$E$21:$E$27)</f>
        <v>40280</v>
      </c>
      <c r="R79" s="11">
        <f>Q79*INDEX(Paramètres!$C$31:$C$38,MIN(MAX(INT(N(J79)),0),7)+1)</f>
        <v>0</v>
      </c>
      <c r="S79" s="14">
        <f t="shared" si="10"/>
        <v>40280</v>
      </c>
      <c r="T79" s="11">
        <f>ROUND(N($E79)*Paramètres!$C$13,0)</f>
        <v>14141</v>
      </c>
      <c r="U79" s="11">
        <f>ROUND(MAX(0,N($E79)-(Q79-R79)-M79)*Paramètres!$C$12,0)</f>
        <v>4052</v>
      </c>
      <c r="V79" s="14">
        <f t="shared" si="11"/>
        <v>401098</v>
      </c>
    </row>
    <row r="80" spans="2:22" ht="17.25" customHeight="1" x14ac:dyDescent="0.35">
      <c r="B80" s="7">
        <v>74</v>
      </c>
      <c r="C80" s="17" t="s">
        <v>99</v>
      </c>
      <c r="D80" s="9">
        <v>46289</v>
      </c>
      <c r="E80" s="10">
        <v>0</v>
      </c>
      <c r="F80" s="11">
        <f>MIN(ROUNDDOWN(N($E80)*Paramètres!$C$16,0),Paramètres!$D$16)</f>
        <v>0</v>
      </c>
      <c r="G80" s="11">
        <f>MIN(ROUNDDOWN(N($E80)*Paramètres!$C$17,0),Paramètres!$D$17)</f>
        <v>0</v>
      </c>
      <c r="H80" s="11">
        <f>MIN(ROUNDDOWN(N($E80)*Paramètres!$C$18,0),Paramètres!$D$18)</f>
        <v>0</v>
      </c>
      <c r="I80" s="11">
        <f t="shared" si="8"/>
        <v>0</v>
      </c>
      <c r="J80" s="12">
        <v>0</v>
      </c>
      <c r="K80" s="13" t="str">
        <f>IF(I80&lt;Paramètres!$C$11,"Cadre inférieur","Cadre supérieur")</f>
        <v>Cadre inférieur</v>
      </c>
      <c r="L80" s="11">
        <f>MIN(F80,MIN(N($E80)*Paramètres!$C$16,Paramètres!$D$16))+MIN(G80,MIN(N($E80)*Paramètres!$C$17,Paramètres!$D$17))+MIN(H80,MIN(N($E80)*Paramètres!$C$18,Paramètres!$D$18))</f>
        <v>0</v>
      </c>
      <c r="M80" s="11">
        <f>MIN(N($E80),Paramètres!$C$7)*Paramètres!$C$6</f>
        <v>0</v>
      </c>
      <c r="N80" s="11">
        <f>MIN(M80,I80*Paramètres!$C$8)</f>
        <v>0</v>
      </c>
      <c r="O80" s="11">
        <f>I80*IF(K80="Cadre supérieur",Paramètres!$C$10,Paramètres!$C$9)</f>
        <v>0</v>
      </c>
      <c r="P80" s="11">
        <f t="shared" si="9"/>
        <v>0</v>
      </c>
      <c r="Q80" s="11">
        <f>SUMPRODUCT((P80&gt;Paramètres!$B$21:$B$27)*(P80-Paramètres!$B$21:$B$27)*Paramètres!$E$21:$E$27)</f>
        <v>0</v>
      </c>
      <c r="R80" s="11">
        <f>Q80*INDEX(Paramètres!$C$31:$C$38,MIN(MAX(INT(N(J80)),0),7)+1)</f>
        <v>0</v>
      </c>
      <c r="S80" s="14">
        <f t="shared" si="10"/>
        <v>0</v>
      </c>
      <c r="T80" s="11">
        <f>ROUND(N($E80)*Paramètres!$C$13,0)</f>
        <v>0</v>
      </c>
      <c r="U80" s="11">
        <f>ROUND(MAX(0,N($E80)-(Q80-R80)-M80)*Paramètres!$C$12,0)</f>
        <v>0</v>
      </c>
      <c r="V80" s="14">
        <f t="shared" si="11"/>
        <v>0</v>
      </c>
    </row>
    <row r="81" spans="2:22" ht="17.25" customHeight="1" x14ac:dyDescent="0.35">
      <c r="B81" s="7">
        <v>75</v>
      </c>
      <c r="C81" s="8" t="s">
        <v>100</v>
      </c>
      <c r="D81" s="9">
        <v>46023</v>
      </c>
      <c r="E81" s="10">
        <v>213566</v>
      </c>
      <c r="F81" s="11">
        <f>MIN(ROUNDDOWN(N($E81)*Paramètres!$C$16,0),Paramètres!$D$16)</f>
        <v>42713</v>
      </c>
      <c r="G81" s="11">
        <f>MIN(ROUNDDOWN(N($E81)*Paramètres!$C$17,0),Paramètres!$D$17)</f>
        <v>10678</v>
      </c>
      <c r="H81" s="11">
        <f>MIN(ROUNDDOWN(N($E81)*Paramètres!$C$18,0),Paramètres!$D$18)</f>
        <v>10678</v>
      </c>
      <c r="I81" s="11">
        <f t="shared" si="8"/>
        <v>149497</v>
      </c>
      <c r="J81" s="12">
        <v>0</v>
      </c>
      <c r="K81" s="13" t="str">
        <f>IF(I81&lt;Paramètres!$C$11,"Cadre inférieur","Cadre supérieur")</f>
        <v>Cadre inférieur</v>
      </c>
      <c r="L81" s="11">
        <f>MIN(F81,MIN(N($E81)*Paramètres!$C$16,Paramètres!$D$16))+MIN(G81,MIN(N($E81)*Paramètres!$C$17,Paramètres!$D$17))+MIN(H81,MIN(N($E81)*Paramètres!$C$18,Paramètres!$D$18))</f>
        <v>64069</v>
      </c>
      <c r="M81" s="11">
        <f>MIN(N($E81),Paramètres!$C$7)*Paramètres!$C$6</f>
        <v>11746.13</v>
      </c>
      <c r="N81" s="11">
        <f>MIN(M81,I81*Paramètres!$C$8)</f>
        <v>11746.13</v>
      </c>
      <c r="O81" s="11">
        <f>I81*IF(K81="Cadre supérieur",Paramètres!$C$10,Paramètres!$C$9)</f>
        <v>37374.25</v>
      </c>
      <c r="P81" s="11">
        <f t="shared" si="9"/>
        <v>100300</v>
      </c>
      <c r="Q81" s="11">
        <f>SUMPRODUCT((P81&gt;Paramètres!$B$21:$B$27)*(P81-Paramètres!$B$21:$B$27)*Paramètres!$E$21:$E$27)</f>
        <v>9777.1</v>
      </c>
      <c r="R81" s="11">
        <f>Q81*INDEX(Paramètres!$C$31:$C$38,MIN(MAX(INT(N(J81)),0),7)+1)</f>
        <v>0</v>
      </c>
      <c r="S81" s="14">
        <f t="shared" si="10"/>
        <v>9777</v>
      </c>
      <c r="T81" s="11">
        <f>ROUND(N($E81)*Paramètres!$C$13,0)</f>
        <v>6407</v>
      </c>
      <c r="U81" s="11">
        <f>ROUND(MAX(0,N($E81)-(Q81-R81)-M81)*Paramètres!$C$12,0)</f>
        <v>1920</v>
      </c>
      <c r="V81" s="14">
        <f t="shared" si="11"/>
        <v>190123</v>
      </c>
    </row>
    <row r="82" spans="2:22" ht="17.25" customHeight="1" x14ac:dyDescent="0.35">
      <c r="B82" s="7">
        <v>76</v>
      </c>
      <c r="C82" s="8" t="s">
        <v>101</v>
      </c>
      <c r="D82" s="9">
        <v>46235</v>
      </c>
      <c r="E82" s="10">
        <v>0</v>
      </c>
      <c r="F82" s="11">
        <f>MIN(ROUNDDOWN(N($E82)*Paramètres!$C$16,0),Paramètres!$D$16)</f>
        <v>0</v>
      </c>
      <c r="G82" s="11">
        <f>MIN(ROUNDDOWN(N($E82)*Paramètres!$C$17,0),Paramètres!$D$17)</f>
        <v>0</v>
      </c>
      <c r="H82" s="11">
        <f>MIN(ROUNDDOWN(N($E82)*Paramètres!$C$18,0),Paramètres!$D$18)</f>
        <v>0</v>
      </c>
      <c r="I82" s="11">
        <f t="shared" si="8"/>
        <v>0</v>
      </c>
      <c r="J82" s="12">
        <v>0</v>
      </c>
      <c r="K82" s="13" t="str">
        <f>IF(I82&lt;Paramètres!$C$11,"Cadre inférieur","Cadre supérieur")</f>
        <v>Cadre inférieur</v>
      </c>
      <c r="L82" s="11">
        <f>MIN(F82,MIN(N($E82)*Paramètres!$C$16,Paramètres!$D$16))+MIN(G82,MIN(N($E82)*Paramètres!$C$17,Paramètres!$D$17))+MIN(H82,MIN(N($E82)*Paramètres!$C$18,Paramètres!$D$18))</f>
        <v>0</v>
      </c>
      <c r="M82" s="11">
        <f>MIN(N($E82),Paramètres!$C$7)*Paramètres!$C$6</f>
        <v>0</v>
      </c>
      <c r="N82" s="11">
        <f>MIN(M82,I82*Paramètres!$C$8)</f>
        <v>0</v>
      </c>
      <c r="O82" s="11">
        <f>I82*IF(K82="Cadre supérieur",Paramètres!$C$10,Paramètres!$C$9)</f>
        <v>0</v>
      </c>
      <c r="P82" s="11">
        <f t="shared" si="9"/>
        <v>0</v>
      </c>
      <c r="Q82" s="11">
        <f>SUMPRODUCT((P82&gt;Paramètres!$B$21:$B$27)*(P82-Paramètres!$B$21:$B$27)*Paramètres!$E$21:$E$27)</f>
        <v>0</v>
      </c>
      <c r="R82" s="11">
        <f>Q82*INDEX(Paramètres!$C$31:$C$38,MIN(MAX(INT(N(J82)),0),7)+1)</f>
        <v>0</v>
      </c>
      <c r="S82" s="14">
        <f t="shared" si="10"/>
        <v>0</v>
      </c>
      <c r="T82" s="11">
        <f>ROUND(N($E82)*Paramètres!$C$13,0)</f>
        <v>0</v>
      </c>
      <c r="U82" s="11">
        <f>ROUND(MAX(0,N($E82)-(Q82-R82)-M82)*Paramètres!$C$12,0)</f>
        <v>0</v>
      </c>
      <c r="V82" s="14">
        <f t="shared" si="11"/>
        <v>0</v>
      </c>
    </row>
    <row r="83" spans="2:22" ht="17.25" customHeight="1" x14ac:dyDescent="0.35">
      <c r="B83" s="7">
        <v>77</v>
      </c>
      <c r="C83" s="8" t="s">
        <v>102</v>
      </c>
      <c r="D83" s="9">
        <v>46183</v>
      </c>
      <c r="E83" s="10">
        <v>80000</v>
      </c>
      <c r="F83" s="11">
        <f>MIN(ROUNDDOWN(N($E83)*Paramètres!$C$16,0),Paramètres!$D$16)</f>
        <v>16000</v>
      </c>
      <c r="G83" s="11">
        <f>MIN(ROUNDDOWN(N($E83)*Paramètres!$C$17,0),Paramètres!$D$17)</f>
        <v>4000</v>
      </c>
      <c r="H83" s="11">
        <f>MIN(ROUNDDOWN(N($E83)*Paramètres!$C$18,0),Paramètres!$D$18)</f>
        <v>4000</v>
      </c>
      <c r="I83" s="11">
        <f t="shared" si="8"/>
        <v>56000</v>
      </c>
      <c r="J83" s="12">
        <v>0</v>
      </c>
      <c r="K83" s="13" t="str">
        <f>IF(I83&lt;Paramètres!$C$11,"Cadre inférieur","Cadre supérieur")</f>
        <v>Cadre inférieur</v>
      </c>
      <c r="L83" s="11">
        <f>MIN(F83,MIN(N($E83)*Paramètres!$C$16,Paramètres!$D$16))+MIN(G83,MIN(N($E83)*Paramètres!$C$17,Paramètres!$D$17))+MIN(H83,MIN(N($E83)*Paramètres!$C$18,Paramètres!$D$18))</f>
        <v>24000</v>
      </c>
      <c r="M83" s="11">
        <f>MIN(N($E83),Paramètres!$C$7)*Paramètres!$C$6</f>
        <v>4400</v>
      </c>
      <c r="N83" s="11">
        <f>MIN(M83,I83*Paramètres!$C$8)</f>
        <v>4400</v>
      </c>
      <c r="O83" s="11">
        <f>I83*IF(K83="Cadre supérieur",Paramètres!$C$10,Paramètres!$C$9)</f>
        <v>14000</v>
      </c>
      <c r="P83" s="11">
        <f t="shared" si="9"/>
        <v>37600</v>
      </c>
      <c r="Q83" s="11">
        <f>SUMPRODUCT((P83&gt;Paramètres!$B$21:$B$27)*(P83-Paramètres!$B$21:$B$27)*Paramètres!$E$21:$E$27)</f>
        <v>919.6</v>
      </c>
      <c r="R83" s="11">
        <f>Q83*INDEX(Paramètres!$C$31:$C$38,MIN(MAX(INT(N(J83)),0),7)+1)</f>
        <v>0</v>
      </c>
      <c r="S83" s="14">
        <f t="shared" si="10"/>
        <v>920</v>
      </c>
      <c r="T83" s="11">
        <f>ROUND(N($E83)*Paramètres!$C$13,0)</f>
        <v>2400</v>
      </c>
      <c r="U83" s="11">
        <f>ROUND(MAX(0,N($E83)-(Q83-R83)-M83)*Paramètres!$C$12,0)</f>
        <v>747</v>
      </c>
      <c r="V83" s="14">
        <f t="shared" si="11"/>
        <v>73933</v>
      </c>
    </row>
    <row r="84" spans="2:22" ht="17.25" customHeight="1" x14ac:dyDescent="0.35">
      <c r="B84" s="7">
        <v>78</v>
      </c>
      <c r="C84" s="17" t="s">
        <v>103</v>
      </c>
      <c r="D84" s="9">
        <v>46244</v>
      </c>
      <c r="E84" s="10">
        <v>250000</v>
      </c>
      <c r="F84" s="11">
        <f>MIN(ROUNDDOWN(N($E84)*Paramètres!$C$16,0),Paramètres!$D$16)</f>
        <v>50000</v>
      </c>
      <c r="G84" s="11">
        <f>MIN(ROUNDDOWN(N($E84)*Paramètres!$C$17,0),Paramètres!$D$17)</f>
        <v>12500</v>
      </c>
      <c r="H84" s="11">
        <f>MIN(ROUNDDOWN(N($E84)*Paramètres!$C$18,0),Paramètres!$D$18)</f>
        <v>12500</v>
      </c>
      <c r="I84" s="11">
        <f t="shared" si="8"/>
        <v>175000</v>
      </c>
      <c r="J84" s="12">
        <v>0</v>
      </c>
      <c r="K84" s="13" t="str">
        <f>IF(I84&lt;Paramètres!$C$11,"Cadre inférieur","Cadre supérieur")</f>
        <v>Cadre supérieur</v>
      </c>
      <c r="L84" s="11">
        <f>MIN(F84,MIN(N($E84)*Paramètres!$C$16,Paramètres!$D$16))+MIN(G84,MIN(N($E84)*Paramètres!$C$17,Paramètres!$D$17))+MIN(H84,MIN(N($E84)*Paramètres!$C$18,Paramètres!$D$18))</f>
        <v>75000</v>
      </c>
      <c r="M84" s="11">
        <f>MIN(N($E84),Paramètres!$C$7)*Paramètres!$C$6</f>
        <v>13750</v>
      </c>
      <c r="N84" s="11">
        <f>MIN(M84,I84*Paramètres!$C$8)</f>
        <v>13750</v>
      </c>
      <c r="O84" s="11">
        <f>I84*IF(K84="Cadre supérieur",Paramètres!$C$10,Paramètres!$C$9)</f>
        <v>35000</v>
      </c>
      <c r="P84" s="11">
        <f t="shared" si="9"/>
        <v>126200</v>
      </c>
      <c r="Q84" s="11">
        <f>SUMPRODUCT((P84&gt;Paramètres!$B$21:$B$27)*(P84-Paramètres!$B$21:$B$27)*Paramètres!$E$21:$E$27)</f>
        <v>14010.799999999997</v>
      </c>
      <c r="R84" s="11">
        <f>Q84*INDEX(Paramètres!$C$31:$C$38,MIN(MAX(INT(N(J84)),0),7)+1)</f>
        <v>0</v>
      </c>
      <c r="S84" s="14">
        <f t="shared" si="10"/>
        <v>14011</v>
      </c>
      <c r="T84" s="11">
        <f>ROUND(N($E84)*Paramètres!$C$13,0)</f>
        <v>7500</v>
      </c>
      <c r="U84" s="11">
        <f>ROUND(MAX(0,N($E84)-(Q84-R84)-M84)*Paramètres!$C$12,0)</f>
        <v>2222</v>
      </c>
      <c r="V84" s="14">
        <f t="shared" si="11"/>
        <v>220017</v>
      </c>
    </row>
    <row r="85" spans="2:22" ht="17.25" customHeight="1" x14ac:dyDescent="0.35">
      <c r="B85" s="7">
        <v>79</v>
      </c>
      <c r="C85" s="8" t="s">
        <v>104</v>
      </c>
      <c r="D85" s="9">
        <v>46235</v>
      </c>
      <c r="E85" s="10">
        <v>0</v>
      </c>
      <c r="F85" s="11">
        <f>MIN(ROUNDDOWN(N($E85)*Paramètres!$C$16,0),Paramètres!$D$16)</f>
        <v>0</v>
      </c>
      <c r="G85" s="11">
        <f>MIN(ROUNDDOWN(N($E85)*Paramètres!$C$17,0),Paramètres!$D$17)</f>
        <v>0</v>
      </c>
      <c r="H85" s="11">
        <f>MIN(ROUNDDOWN(N($E85)*Paramètres!$C$18,0),Paramètres!$D$18)</f>
        <v>0</v>
      </c>
      <c r="I85" s="11">
        <f t="shared" si="8"/>
        <v>0</v>
      </c>
      <c r="J85" s="12">
        <v>0</v>
      </c>
      <c r="K85" s="13" t="str">
        <f>IF(I85&lt;Paramètres!$C$11,"Cadre inférieur","Cadre supérieur")</f>
        <v>Cadre inférieur</v>
      </c>
      <c r="L85" s="11">
        <f>MIN(F85,MIN(N($E85)*Paramètres!$C$16,Paramètres!$D$16))+MIN(G85,MIN(N($E85)*Paramètres!$C$17,Paramètres!$D$17))+MIN(H85,MIN(N($E85)*Paramètres!$C$18,Paramètres!$D$18))</f>
        <v>0</v>
      </c>
      <c r="M85" s="11">
        <f>MIN(N($E85),Paramètres!$C$7)*Paramètres!$C$6</f>
        <v>0</v>
      </c>
      <c r="N85" s="11">
        <f>MIN(M85,I85*Paramètres!$C$8)</f>
        <v>0</v>
      </c>
      <c r="O85" s="11">
        <f>I85*IF(K85="Cadre supérieur",Paramètres!$C$10,Paramètres!$C$9)</f>
        <v>0</v>
      </c>
      <c r="P85" s="11">
        <f t="shared" si="9"/>
        <v>0</v>
      </c>
      <c r="Q85" s="11">
        <f>SUMPRODUCT((P85&gt;Paramètres!$B$21:$B$27)*(P85-Paramètres!$B$21:$B$27)*Paramètres!$E$21:$E$27)</f>
        <v>0</v>
      </c>
      <c r="R85" s="11">
        <f>Q85*INDEX(Paramètres!$C$31:$C$38,MIN(MAX(INT(N(J85)),0),7)+1)</f>
        <v>0</v>
      </c>
      <c r="S85" s="14">
        <f t="shared" si="10"/>
        <v>0</v>
      </c>
      <c r="T85" s="11">
        <f>ROUND(N($E85)*Paramètres!$C$13,0)</f>
        <v>0</v>
      </c>
      <c r="U85" s="11">
        <f>ROUND(MAX(0,N($E85)-(Q85-R85)-M85)*Paramètres!$C$12,0)</f>
        <v>0</v>
      </c>
      <c r="V85" s="14">
        <f t="shared" si="11"/>
        <v>0</v>
      </c>
    </row>
    <row r="86" spans="2:22" ht="17.25" customHeight="1" x14ac:dyDescent="0.35">
      <c r="B86" s="7">
        <v>80</v>
      </c>
      <c r="C86" s="8" t="s">
        <v>105</v>
      </c>
      <c r="D86" s="9">
        <v>46174</v>
      </c>
      <c r="E86" s="10">
        <v>177387</v>
      </c>
      <c r="F86" s="11">
        <f>MIN(ROUNDDOWN(N($E86)*Paramètres!$C$16,0),Paramètres!$D$16)</f>
        <v>35477</v>
      </c>
      <c r="G86" s="11">
        <f>MIN(ROUNDDOWN(N($E86)*Paramètres!$C$17,0),Paramètres!$D$17)</f>
        <v>8869</v>
      </c>
      <c r="H86" s="11">
        <f>MIN(ROUNDDOWN(N($E86)*Paramètres!$C$18,0),Paramètres!$D$18)</f>
        <v>8869</v>
      </c>
      <c r="I86" s="11">
        <f t="shared" si="8"/>
        <v>124172</v>
      </c>
      <c r="J86" s="12">
        <v>0</v>
      </c>
      <c r="K86" s="13" t="str">
        <f>IF(I86&lt;Paramètres!$C$11,"Cadre inférieur","Cadre supérieur")</f>
        <v>Cadre inférieur</v>
      </c>
      <c r="L86" s="11">
        <f>MIN(F86,MIN(N($E86)*Paramètres!$C$16,Paramètres!$D$16))+MIN(G86,MIN(N($E86)*Paramètres!$C$17,Paramètres!$D$17))+MIN(H86,MIN(N($E86)*Paramètres!$C$18,Paramètres!$D$18))</f>
        <v>53215</v>
      </c>
      <c r="M86" s="11">
        <f>MIN(N($E86),Paramètres!$C$7)*Paramètres!$C$6</f>
        <v>9756.2849999999999</v>
      </c>
      <c r="N86" s="11">
        <f>MIN(M86,I86*Paramètres!$C$8)</f>
        <v>9756.2849999999999</v>
      </c>
      <c r="O86" s="11">
        <f>I86*IF(K86="Cadre supérieur",Paramètres!$C$10,Paramètres!$C$9)</f>
        <v>31043</v>
      </c>
      <c r="P86" s="11">
        <f t="shared" si="9"/>
        <v>83300</v>
      </c>
      <c r="Q86" s="11">
        <f>SUMPRODUCT((P86&gt;Paramètres!$B$21:$B$27)*(P86-Paramètres!$B$21:$B$27)*Paramètres!$E$21:$E$27)</f>
        <v>7108.1</v>
      </c>
      <c r="R86" s="11">
        <f>Q86*INDEX(Paramètres!$C$31:$C$38,MIN(MAX(INT(N(J86)),0),7)+1)</f>
        <v>0</v>
      </c>
      <c r="S86" s="14">
        <f t="shared" si="10"/>
        <v>7108</v>
      </c>
      <c r="T86" s="11">
        <f>ROUND(N($E86)*Paramètres!$C$13,0)</f>
        <v>5322</v>
      </c>
      <c r="U86" s="11">
        <f>ROUND(MAX(0,N($E86)-(Q86-R86)-M86)*Paramètres!$C$12,0)</f>
        <v>1605</v>
      </c>
      <c r="V86" s="14">
        <f t="shared" si="11"/>
        <v>158918</v>
      </c>
    </row>
    <row r="87" spans="2:22" ht="17.25" customHeight="1" x14ac:dyDescent="0.35">
      <c r="B87" s="7">
        <v>81</v>
      </c>
      <c r="C87" s="8" t="s">
        <v>106</v>
      </c>
      <c r="D87" s="9">
        <v>46249</v>
      </c>
      <c r="E87" s="10">
        <v>0</v>
      </c>
      <c r="F87" s="11">
        <f>MIN(ROUNDDOWN(N($E87)*Paramètres!$C$16,0),Paramètres!$D$16)</f>
        <v>0</v>
      </c>
      <c r="G87" s="11">
        <f>MIN(ROUNDDOWN(N($E87)*Paramètres!$C$17,0),Paramètres!$D$17)</f>
        <v>0</v>
      </c>
      <c r="H87" s="11">
        <f>MIN(ROUNDDOWN(N($E87)*Paramètres!$C$18,0),Paramètres!$D$18)</f>
        <v>0</v>
      </c>
      <c r="I87" s="11">
        <f t="shared" si="8"/>
        <v>0</v>
      </c>
      <c r="J87" s="12">
        <v>0</v>
      </c>
      <c r="K87" s="13" t="str">
        <f>IF(I87&lt;Paramètres!$C$11,"Cadre inférieur","Cadre supérieur")</f>
        <v>Cadre inférieur</v>
      </c>
      <c r="L87" s="11">
        <f>MIN(F87,MIN(N($E87)*Paramètres!$C$16,Paramètres!$D$16))+MIN(G87,MIN(N($E87)*Paramètres!$C$17,Paramètres!$D$17))+MIN(H87,MIN(N($E87)*Paramètres!$C$18,Paramètres!$D$18))</f>
        <v>0</v>
      </c>
      <c r="M87" s="11">
        <f>MIN(N($E87),Paramètres!$C$7)*Paramètres!$C$6</f>
        <v>0</v>
      </c>
      <c r="N87" s="11">
        <f>MIN(M87,I87*Paramètres!$C$8)</f>
        <v>0</v>
      </c>
      <c r="O87" s="11">
        <f>I87*IF(K87="Cadre supérieur",Paramètres!$C$10,Paramètres!$C$9)</f>
        <v>0</v>
      </c>
      <c r="P87" s="11">
        <f t="shared" si="9"/>
        <v>0</v>
      </c>
      <c r="Q87" s="11">
        <f>SUMPRODUCT((P87&gt;Paramètres!$B$21:$B$27)*(P87-Paramètres!$B$21:$B$27)*Paramètres!$E$21:$E$27)</f>
        <v>0</v>
      </c>
      <c r="R87" s="11">
        <f>Q87*INDEX(Paramètres!$C$31:$C$38,MIN(MAX(INT(N(J87)),0),7)+1)</f>
        <v>0</v>
      </c>
      <c r="S87" s="14">
        <f t="shared" si="10"/>
        <v>0</v>
      </c>
      <c r="T87" s="11">
        <f>ROUND(N($E87)*Paramètres!$C$13,0)</f>
        <v>0</v>
      </c>
      <c r="U87" s="11">
        <f>ROUND(MAX(0,N($E87)-(Q87-R87)-M87)*Paramètres!$C$12,0)</f>
        <v>0</v>
      </c>
      <c r="V87" s="14">
        <f t="shared" si="11"/>
        <v>0</v>
      </c>
    </row>
    <row r="88" spans="2:22" ht="17.25" customHeight="1" x14ac:dyDescent="0.35">
      <c r="B88" s="7">
        <v>82</v>
      </c>
      <c r="C88" s="17" t="s">
        <v>107</v>
      </c>
      <c r="D88" s="9">
        <v>46296</v>
      </c>
      <c r="E88" s="10">
        <v>0</v>
      </c>
      <c r="F88" s="11">
        <f>MIN(ROUNDDOWN(N($E88)*Paramètres!$C$16,0),Paramètres!$D$16)</f>
        <v>0</v>
      </c>
      <c r="G88" s="11">
        <f>MIN(ROUNDDOWN(N($E88)*Paramètres!$C$17,0),Paramètres!$D$17)</f>
        <v>0</v>
      </c>
      <c r="H88" s="11">
        <f>MIN(ROUNDDOWN(N($E88)*Paramètres!$C$18,0),Paramètres!$D$18)</f>
        <v>0</v>
      </c>
      <c r="I88" s="11">
        <f t="shared" si="8"/>
        <v>0</v>
      </c>
      <c r="J88" s="12">
        <v>0</v>
      </c>
      <c r="K88" s="13" t="str">
        <f>IF(I88&lt;Paramètres!$C$11,"Cadre inférieur","Cadre supérieur")</f>
        <v>Cadre inférieur</v>
      </c>
      <c r="L88" s="11">
        <f>MIN(F88,MIN(N($E88)*Paramètres!$C$16,Paramètres!$D$16))+MIN(G88,MIN(N($E88)*Paramètres!$C$17,Paramètres!$D$17))+MIN(H88,MIN(N($E88)*Paramètres!$C$18,Paramètres!$D$18))</f>
        <v>0</v>
      </c>
      <c r="M88" s="11">
        <f>MIN(N($E88),Paramètres!$C$7)*Paramètres!$C$6</f>
        <v>0</v>
      </c>
      <c r="N88" s="11">
        <f>MIN(M88,I88*Paramètres!$C$8)</f>
        <v>0</v>
      </c>
      <c r="O88" s="11">
        <f>I88*IF(K88="Cadre supérieur",Paramètres!$C$10,Paramètres!$C$9)</f>
        <v>0</v>
      </c>
      <c r="P88" s="11">
        <f t="shared" si="9"/>
        <v>0</v>
      </c>
      <c r="Q88" s="11">
        <f>SUMPRODUCT((P88&gt;Paramètres!$B$21:$B$27)*(P88-Paramètres!$B$21:$B$27)*Paramètres!$E$21:$E$27)</f>
        <v>0</v>
      </c>
      <c r="R88" s="11">
        <f>Q88*INDEX(Paramètres!$C$31:$C$38,MIN(MAX(INT(N(J88)),0),7)+1)</f>
        <v>0</v>
      </c>
      <c r="S88" s="14">
        <f t="shared" si="10"/>
        <v>0</v>
      </c>
      <c r="T88" s="11">
        <f>ROUND(N($E88)*Paramètres!$C$13,0)</f>
        <v>0</v>
      </c>
      <c r="U88" s="11">
        <f>ROUND(MAX(0,N($E88)-(Q88-R88)-M88)*Paramètres!$C$12,0)</f>
        <v>0</v>
      </c>
      <c r="V88" s="14">
        <f t="shared" si="11"/>
        <v>0</v>
      </c>
    </row>
    <row r="89" spans="2:22" ht="17.25" customHeight="1" x14ac:dyDescent="0.35">
      <c r="B89" s="7">
        <v>83</v>
      </c>
      <c r="C89" s="8" t="s">
        <v>108</v>
      </c>
      <c r="D89" s="9">
        <v>45901</v>
      </c>
      <c r="E89" s="10">
        <v>213566</v>
      </c>
      <c r="F89" s="11">
        <f>MIN(ROUNDDOWN(N($E89)*Paramètres!$C$16,0),Paramètres!$D$16)</f>
        <v>42713</v>
      </c>
      <c r="G89" s="11">
        <f>MIN(ROUNDDOWN(N($E89)*Paramètres!$C$17,0),Paramètres!$D$17)</f>
        <v>10678</v>
      </c>
      <c r="H89" s="11">
        <f>MIN(ROUNDDOWN(N($E89)*Paramètres!$C$18,0),Paramètres!$D$18)</f>
        <v>10678</v>
      </c>
      <c r="I89" s="11">
        <f t="shared" si="8"/>
        <v>149497</v>
      </c>
      <c r="J89" s="12">
        <v>0</v>
      </c>
      <c r="K89" s="13" t="str">
        <f>IF(I89&lt;Paramètres!$C$11,"Cadre inférieur","Cadre supérieur")</f>
        <v>Cadre inférieur</v>
      </c>
      <c r="L89" s="11">
        <f>MIN(F89,MIN(N($E89)*Paramètres!$C$16,Paramètres!$D$16))+MIN(G89,MIN(N($E89)*Paramètres!$C$17,Paramètres!$D$17))+MIN(H89,MIN(N($E89)*Paramètres!$C$18,Paramètres!$D$18))</f>
        <v>64069</v>
      </c>
      <c r="M89" s="11">
        <f>MIN(N($E89),Paramètres!$C$7)*Paramètres!$C$6</f>
        <v>11746.13</v>
      </c>
      <c r="N89" s="11">
        <f>MIN(M89,I89*Paramètres!$C$8)</f>
        <v>11746.13</v>
      </c>
      <c r="O89" s="11">
        <f>I89*IF(K89="Cadre supérieur",Paramètres!$C$10,Paramètres!$C$9)</f>
        <v>37374.25</v>
      </c>
      <c r="P89" s="11">
        <f t="shared" si="9"/>
        <v>100300</v>
      </c>
      <c r="Q89" s="11">
        <f>SUMPRODUCT((P89&gt;Paramètres!$B$21:$B$27)*(P89-Paramètres!$B$21:$B$27)*Paramètres!$E$21:$E$27)</f>
        <v>9777.1</v>
      </c>
      <c r="R89" s="11">
        <f>Q89*INDEX(Paramètres!$C$31:$C$38,MIN(MAX(INT(N(J89)),0),7)+1)</f>
        <v>0</v>
      </c>
      <c r="S89" s="14">
        <f t="shared" si="10"/>
        <v>9777</v>
      </c>
      <c r="T89" s="11">
        <f>ROUND(N($E89)*Paramètres!$C$13,0)</f>
        <v>6407</v>
      </c>
      <c r="U89" s="11">
        <f>ROUND(MAX(0,N($E89)-(Q89-R89)-M89)*Paramètres!$C$12,0)</f>
        <v>1920</v>
      </c>
      <c r="V89" s="14">
        <f t="shared" si="11"/>
        <v>190123</v>
      </c>
    </row>
    <row r="90" spans="2:22" ht="17.25" customHeight="1" x14ac:dyDescent="0.35">
      <c r="B90" s="7">
        <v>84</v>
      </c>
      <c r="C90" s="8" t="s">
        <v>109</v>
      </c>
      <c r="D90" s="9"/>
      <c r="E90" s="10">
        <v>135983</v>
      </c>
      <c r="F90" s="11">
        <f>MIN(ROUNDDOWN(N($E90)*Paramètres!$C$16,0),Paramètres!$D$16)</f>
        <v>27196</v>
      </c>
      <c r="G90" s="11">
        <f>MIN(ROUNDDOWN(N($E90)*Paramètres!$C$17,0),Paramètres!$D$17)</f>
        <v>6799</v>
      </c>
      <c r="H90" s="11">
        <f>MIN(ROUNDDOWN(N($E90)*Paramètres!$C$18,0),Paramètres!$D$18)</f>
        <v>6799</v>
      </c>
      <c r="I90" s="11">
        <f t="shared" si="8"/>
        <v>95189</v>
      </c>
      <c r="J90" s="12">
        <v>0</v>
      </c>
      <c r="K90" s="13" t="str">
        <f>IF(I90&lt;Paramètres!$C$11,"Cadre inférieur","Cadre supérieur")</f>
        <v>Cadre inférieur</v>
      </c>
      <c r="L90" s="11">
        <f>MIN(F90,MIN(N($E90)*Paramètres!$C$16,Paramètres!$D$16))+MIN(G90,MIN(N($E90)*Paramètres!$C$17,Paramètres!$D$17))+MIN(H90,MIN(N($E90)*Paramètres!$C$18,Paramètres!$D$18))</f>
        <v>40794</v>
      </c>
      <c r="M90" s="11">
        <f>MIN(N($E90),Paramètres!$C$7)*Paramètres!$C$6</f>
        <v>7479.0649999999996</v>
      </c>
      <c r="N90" s="11">
        <f>MIN(M90,I90*Paramètres!$C$8)</f>
        <v>7479.0649999999996</v>
      </c>
      <c r="O90" s="11">
        <f>I90*IF(K90="Cadre supérieur",Paramètres!$C$10,Paramètres!$C$9)</f>
        <v>23797.25</v>
      </c>
      <c r="P90" s="11">
        <f t="shared" si="9"/>
        <v>63900</v>
      </c>
      <c r="Q90" s="11">
        <f>SUMPRODUCT((P90&gt;Paramètres!$B$21:$B$27)*(P90-Paramètres!$B$21:$B$27)*Paramètres!$E$21:$E$27)</f>
        <v>4352.0999999999995</v>
      </c>
      <c r="R90" s="11">
        <f>Q90*INDEX(Paramètres!$C$31:$C$38,MIN(MAX(INT(N(J90)),0),7)+1)</f>
        <v>0</v>
      </c>
      <c r="S90" s="14">
        <f t="shared" si="10"/>
        <v>4352</v>
      </c>
      <c r="T90" s="11">
        <f>ROUND(N($E90)*Paramètres!$C$13,0)</f>
        <v>4079</v>
      </c>
      <c r="U90" s="11">
        <f>ROUND(MAX(0,N($E90)-(Q90-R90)-M90)*Paramètres!$C$12,0)</f>
        <v>1242</v>
      </c>
      <c r="V90" s="14">
        <f t="shared" si="11"/>
        <v>122910</v>
      </c>
    </row>
    <row r="91" spans="2:22" ht="17.25" customHeight="1" x14ac:dyDescent="0.35">
      <c r="B91" s="7">
        <v>85</v>
      </c>
      <c r="C91" s="8" t="s">
        <v>110</v>
      </c>
      <c r="D91" s="9"/>
      <c r="E91" s="10">
        <v>0</v>
      </c>
      <c r="F91" s="11">
        <f>MIN(ROUNDDOWN(N($E91)*Paramètres!$C$16,0),Paramètres!$D$16)</f>
        <v>0</v>
      </c>
      <c r="G91" s="11">
        <f>MIN(ROUNDDOWN(N($E91)*Paramètres!$C$17,0),Paramètres!$D$17)</f>
        <v>0</v>
      </c>
      <c r="H91" s="11">
        <f>MIN(ROUNDDOWN(N($E91)*Paramètres!$C$18,0),Paramètres!$D$18)</f>
        <v>0</v>
      </c>
      <c r="I91" s="11">
        <f t="shared" si="8"/>
        <v>0</v>
      </c>
      <c r="J91" s="12">
        <v>0</v>
      </c>
      <c r="K91" s="13" t="str">
        <f>IF(I91&lt;Paramètres!$C$11,"Cadre inférieur","Cadre supérieur")</f>
        <v>Cadre inférieur</v>
      </c>
      <c r="L91" s="11">
        <f>MIN(F91,MIN(N($E91)*Paramètres!$C$16,Paramètres!$D$16))+MIN(G91,MIN(N($E91)*Paramètres!$C$17,Paramètres!$D$17))+MIN(H91,MIN(N($E91)*Paramètres!$C$18,Paramètres!$D$18))</f>
        <v>0</v>
      </c>
      <c r="M91" s="11">
        <f>MIN(N($E91),Paramètres!$C$7)*Paramètres!$C$6</f>
        <v>0</v>
      </c>
      <c r="N91" s="11">
        <f>MIN(M91,I91*Paramètres!$C$8)</f>
        <v>0</v>
      </c>
      <c r="O91" s="11">
        <f>I91*IF(K91="Cadre supérieur",Paramètres!$C$10,Paramètres!$C$9)</f>
        <v>0</v>
      </c>
      <c r="P91" s="11">
        <f t="shared" si="9"/>
        <v>0</v>
      </c>
      <c r="Q91" s="11">
        <f>SUMPRODUCT((P91&gt;Paramètres!$B$21:$B$27)*(P91-Paramètres!$B$21:$B$27)*Paramètres!$E$21:$E$27)</f>
        <v>0</v>
      </c>
      <c r="R91" s="11">
        <f>Q91*INDEX(Paramètres!$C$31:$C$38,MIN(MAX(INT(N(J91)),0),7)+1)</f>
        <v>0</v>
      </c>
      <c r="S91" s="14">
        <f t="shared" si="10"/>
        <v>0</v>
      </c>
      <c r="T91" s="11">
        <f>ROUND(N($E91)*Paramètres!$C$13,0)</f>
        <v>0</v>
      </c>
      <c r="U91" s="11">
        <f>ROUND(MAX(0,N($E91)-(Q91-R91)-M91)*Paramètres!$C$12,0)</f>
        <v>0</v>
      </c>
      <c r="V91" s="14">
        <f t="shared" si="11"/>
        <v>0</v>
      </c>
    </row>
    <row r="92" spans="2:22" ht="17.25" customHeight="1" x14ac:dyDescent="0.35">
      <c r="B92" s="7">
        <v>86</v>
      </c>
      <c r="C92" s="8" t="s">
        <v>111</v>
      </c>
      <c r="D92" s="9">
        <v>45778</v>
      </c>
      <c r="E92" s="10">
        <v>231913</v>
      </c>
      <c r="F92" s="11">
        <f>MIN(ROUNDDOWN(N($E92)*Paramètres!$C$16,0),Paramètres!$D$16)</f>
        <v>46382</v>
      </c>
      <c r="G92" s="11">
        <f>MIN(ROUNDDOWN(N($E92)*Paramètres!$C$17,0),Paramètres!$D$17)</f>
        <v>11595</v>
      </c>
      <c r="H92" s="11">
        <f>MIN(ROUNDDOWN(N($E92)*Paramètres!$C$18,0),Paramètres!$D$18)</f>
        <v>11595</v>
      </c>
      <c r="I92" s="11">
        <f t="shared" si="8"/>
        <v>162341</v>
      </c>
      <c r="J92" s="12">
        <v>0</v>
      </c>
      <c r="K92" s="13" t="str">
        <f>IF(I92&lt;Paramètres!$C$11,"Cadre inférieur","Cadre supérieur")</f>
        <v>Cadre supérieur</v>
      </c>
      <c r="L92" s="11">
        <f>MIN(F92,MIN(N($E92)*Paramètres!$C$16,Paramètres!$D$16))+MIN(G92,MIN(N($E92)*Paramètres!$C$17,Paramètres!$D$17))+MIN(H92,MIN(N($E92)*Paramètres!$C$18,Paramètres!$D$18))</f>
        <v>69572</v>
      </c>
      <c r="M92" s="11">
        <f>MIN(N($E92),Paramètres!$C$7)*Paramètres!$C$6</f>
        <v>12755.215</v>
      </c>
      <c r="N92" s="11">
        <f>MIN(M92,I92*Paramètres!$C$8)</f>
        <v>12755.215</v>
      </c>
      <c r="O92" s="11">
        <f>I92*IF(K92="Cadre supérieur",Paramètres!$C$10,Paramètres!$C$9)</f>
        <v>32468.2</v>
      </c>
      <c r="P92" s="11">
        <f t="shared" si="9"/>
        <v>117100</v>
      </c>
      <c r="Q92" s="11">
        <f>SUMPRODUCT((P92&gt;Paramètres!$B$21:$B$27)*(P92-Paramètres!$B$21:$B$27)*Paramètres!$E$21:$E$27)</f>
        <v>12414.7</v>
      </c>
      <c r="R92" s="11">
        <f>Q92*INDEX(Paramètres!$C$31:$C$38,MIN(MAX(INT(N(J92)),0),7)+1)</f>
        <v>0</v>
      </c>
      <c r="S92" s="14">
        <f t="shared" si="10"/>
        <v>12415</v>
      </c>
      <c r="T92" s="11">
        <f>ROUND(N($E92)*Paramètres!$C$13,0)</f>
        <v>6957</v>
      </c>
      <c r="U92" s="11">
        <f>ROUND(MAX(0,N($E92)-(Q92-R92)-M92)*Paramètres!$C$12,0)</f>
        <v>2067</v>
      </c>
      <c r="V92" s="14">
        <f t="shared" si="11"/>
        <v>204676</v>
      </c>
    </row>
    <row r="93" spans="2:22" ht="17.25" customHeight="1" x14ac:dyDescent="0.35">
      <c r="B93" s="7">
        <v>87</v>
      </c>
      <c r="C93" s="8" t="s">
        <v>112</v>
      </c>
      <c r="D93" s="9">
        <v>46061</v>
      </c>
      <c r="E93" s="10">
        <v>177387</v>
      </c>
      <c r="F93" s="11">
        <f>MIN(ROUNDDOWN(N($E93)*Paramètres!$C$16,0),Paramètres!$D$16)</f>
        <v>35477</v>
      </c>
      <c r="G93" s="11">
        <f>MIN(ROUNDDOWN(N($E93)*Paramètres!$C$17,0),Paramètres!$D$17)</f>
        <v>8869</v>
      </c>
      <c r="H93" s="11">
        <f>MIN(ROUNDDOWN(N($E93)*Paramètres!$C$18,0),Paramètres!$D$18)</f>
        <v>8869</v>
      </c>
      <c r="I93" s="11">
        <f t="shared" si="8"/>
        <v>124172</v>
      </c>
      <c r="J93" s="12">
        <v>0</v>
      </c>
      <c r="K93" s="13" t="str">
        <f>IF(I93&lt;Paramètres!$C$11,"Cadre inférieur","Cadre supérieur")</f>
        <v>Cadre inférieur</v>
      </c>
      <c r="L93" s="11">
        <f>MIN(F93,MIN(N($E93)*Paramètres!$C$16,Paramètres!$D$16))+MIN(G93,MIN(N($E93)*Paramètres!$C$17,Paramètres!$D$17))+MIN(H93,MIN(N($E93)*Paramètres!$C$18,Paramètres!$D$18))</f>
        <v>53215</v>
      </c>
      <c r="M93" s="11">
        <f>MIN(N($E93),Paramètres!$C$7)*Paramètres!$C$6</f>
        <v>9756.2849999999999</v>
      </c>
      <c r="N93" s="11">
        <f>MIN(M93,I93*Paramètres!$C$8)</f>
        <v>9756.2849999999999</v>
      </c>
      <c r="O93" s="11">
        <f>I93*IF(K93="Cadre supérieur",Paramètres!$C$10,Paramètres!$C$9)</f>
        <v>31043</v>
      </c>
      <c r="P93" s="11">
        <f t="shared" si="9"/>
        <v>83300</v>
      </c>
      <c r="Q93" s="11">
        <f>SUMPRODUCT((P93&gt;Paramètres!$B$21:$B$27)*(P93-Paramètres!$B$21:$B$27)*Paramètres!$E$21:$E$27)</f>
        <v>7108.1</v>
      </c>
      <c r="R93" s="11">
        <f>Q93*INDEX(Paramètres!$C$31:$C$38,MIN(MAX(INT(N(J93)),0),7)+1)</f>
        <v>0</v>
      </c>
      <c r="S93" s="14">
        <f t="shared" si="10"/>
        <v>7108</v>
      </c>
      <c r="T93" s="11">
        <f>ROUND(N($E93)*Paramètres!$C$13,0)</f>
        <v>5322</v>
      </c>
      <c r="U93" s="11">
        <f>ROUND(MAX(0,N($E93)-(Q93-R93)-M93)*Paramètres!$C$12,0)</f>
        <v>1605</v>
      </c>
      <c r="V93" s="14">
        <f t="shared" si="11"/>
        <v>158918</v>
      </c>
    </row>
    <row r="94" spans="2:22" ht="17.25" customHeight="1" x14ac:dyDescent="0.35">
      <c r="B94" s="7">
        <v>88</v>
      </c>
      <c r="C94" s="8" t="s">
        <v>113</v>
      </c>
      <c r="D94" s="9">
        <v>46220</v>
      </c>
      <c r="E94" s="10">
        <v>195484</v>
      </c>
      <c r="F94" s="11">
        <f>MIN(ROUNDDOWN(N($E94)*Paramètres!$C$16,0),Paramètres!$D$16)</f>
        <v>39096</v>
      </c>
      <c r="G94" s="11">
        <f>MIN(ROUNDDOWN(N($E94)*Paramètres!$C$17,0),Paramètres!$D$17)</f>
        <v>9774</v>
      </c>
      <c r="H94" s="11">
        <f>MIN(ROUNDDOWN(N($E94)*Paramètres!$C$18,0),Paramètres!$D$18)</f>
        <v>9774</v>
      </c>
      <c r="I94" s="11">
        <f t="shared" si="8"/>
        <v>136840</v>
      </c>
      <c r="J94" s="12">
        <v>0</v>
      </c>
      <c r="K94" s="13" t="str">
        <f>IF(I94&lt;Paramètres!$C$11,"Cadre inférieur","Cadre supérieur")</f>
        <v>Cadre inférieur</v>
      </c>
      <c r="L94" s="11">
        <f>MIN(F94,MIN(N($E94)*Paramètres!$C$16,Paramètres!$D$16))+MIN(G94,MIN(N($E94)*Paramètres!$C$17,Paramètres!$D$17))+MIN(H94,MIN(N($E94)*Paramètres!$C$18,Paramètres!$D$18))</f>
        <v>58644</v>
      </c>
      <c r="M94" s="11">
        <f>MIN(N($E94),Paramètres!$C$7)*Paramètres!$C$6</f>
        <v>10751.62</v>
      </c>
      <c r="N94" s="11">
        <f>MIN(M94,I94*Paramètres!$C$8)</f>
        <v>10751.62</v>
      </c>
      <c r="O94" s="11">
        <f>I94*IF(K94="Cadre supérieur",Paramètres!$C$10,Paramètres!$C$9)</f>
        <v>34210</v>
      </c>
      <c r="P94" s="11">
        <f t="shared" si="9"/>
        <v>91800</v>
      </c>
      <c r="Q94" s="11">
        <f>SUMPRODUCT((P94&gt;Paramètres!$B$21:$B$27)*(P94-Paramètres!$B$21:$B$27)*Paramètres!$E$21:$E$27)</f>
        <v>8442.6</v>
      </c>
      <c r="R94" s="11">
        <f>Q94*INDEX(Paramètres!$C$31:$C$38,MIN(MAX(INT(N(J94)),0),7)+1)</f>
        <v>0</v>
      </c>
      <c r="S94" s="14">
        <f t="shared" si="10"/>
        <v>8443</v>
      </c>
      <c r="T94" s="11">
        <f>ROUND(N($E94)*Paramètres!$C$13,0)</f>
        <v>5865</v>
      </c>
      <c r="U94" s="11">
        <f>ROUND(MAX(0,N($E94)-(Q94-R94)-M94)*Paramètres!$C$12,0)</f>
        <v>1763</v>
      </c>
      <c r="V94" s="14">
        <f t="shared" si="11"/>
        <v>174526</v>
      </c>
    </row>
    <row r="95" spans="2:22" ht="17.25" customHeight="1" x14ac:dyDescent="0.35">
      <c r="B95" s="7">
        <v>89</v>
      </c>
      <c r="C95" s="8" t="s">
        <v>114</v>
      </c>
      <c r="D95" s="9">
        <v>46174</v>
      </c>
      <c r="E95" s="10">
        <v>0</v>
      </c>
      <c r="F95" s="11">
        <f>MIN(ROUNDDOWN(N($E95)*Paramètres!$C$16,0),Paramètres!$D$16)</f>
        <v>0</v>
      </c>
      <c r="G95" s="11">
        <f>MIN(ROUNDDOWN(N($E95)*Paramètres!$C$17,0),Paramètres!$D$17)</f>
        <v>0</v>
      </c>
      <c r="H95" s="11">
        <f>MIN(ROUNDDOWN(N($E95)*Paramètres!$C$18,0),Paramètres!$D$18)</f>
        <v>0</v>
      </c>
      <c r="I95" s="11">
        <f t="shared" si="8"/>
        <v>0</v>
      </c>
      <c r="J95" s="12">
        <v>0</v>
      </c>
      <c r="K95" s="13" t="str">
        <f>IF(I95&lt;Paramètres!$C$11,"Cadre inférieur","Cadre supérieur")</f>
        <v>Cadre inférieur</v>
      </c>
      <c r="L95" s="11">
        <f>MIN(F95,MIN(N($E95)*Paramètres!$C$16,Paramètres!$D$16))+MIN(G95,MIN(N($E95)*Paramètres!$C$17,Paramètres!$D$17))+MIN(H95,MIN(N($E95)*Paramètres!$C$18,Paramètres!$D$18))</f>
        <v>0</v>
      </c>
      <c r="M95" s="11">
        <f>MIN(N($E95),Paramètres!$C$7)*Paramètres!$C$6</f>
        <v>0</v>
      </c>
      <c r="N95" s="11">
        <f>MIN(M95,I95*Paramètres!$C$8)</f>
        <v>0</v>
      </c>
      <c r="O95" s="11">
        <f>I95*IF(K95="Cadre supérieur",Paramètres!$C$10,Paramètres!$C$9)</f>
        <v>0</v>
      </c>
      <c r="P95" s="11">
        <f t="shared" si="9"/>
        <v>0</v>
      </c>
      <c r="Q95" s="11">
        <f>SUMPRODUCT((P95&gt;Paramètres!$B$21:$B$27)*(P95-Paramètres!$B$21:$B$27)*Paramètres!$E$21:$E$27)</f>
        <v>0</v>
      </c>
      <c r="R95" s="11">
        <f>Q95*INDEX(Paramètres!$C$31:$C$38,MIN(MAX(INT(N(J95)),0),7)+1)</f>
        <v>0</v>
      </c>
      <c r="S95" s="14">
        <f t="shared" si="10"/>
        <v>0</v>
      </c>
      <c r="T95" s="11">
        <f>ROUND(N($E95)*Paramètres!$C$13,0)</f>
        <v>0</v>
      </c>
      <c r="U95" s="11">
        <f>ROUND(MAX(0,N($E95)-(Q95-R95)-M95)*Paramètres!$C$12,0)</f>
        <v>0</v>
      </c>
      <c r="V95" s="14">
        <f t="shared" si="11"/>
        <v>0</v>
      </c>
    </row>
    <row r="96" spans="2:22" ht="17.25" customHeight="1" x14ac:dyDescent="0.35">
      <c r="B96" s="7">
        <v>90</v>
      </c>
      <c r="C96" s="8" t="s">
        <v>115</v>
      </c>
      <c r="D96" s="9">
        <v>45784</v>
      </c>
      <c r="E96" s="10">
        <v>108397</v>
      </c>
      <c r="F96" s="11">
        <f>MIN(ROUNDDOWN(N($E96)*Paramètres!$C$16,0),Paramètres!$D$16)</f>
        <v>21679</v>
      </c>
      <c r="G96" s="11">
        <f>MIN(ROUNDDOWN(N($E96)*Paramètres!$C$17,0),Paramètres!$D$17)</f>
        <v>5419</v>
      </c>
      <c r="H96" s="11">
        <f>MIN(ROUNDDOWN(N($E96)*Paramètres!$C$18,0),Paramètres!$D$18)</f>
        <v>5419</v>
      </c>
      <c r="I96" s="11">
        <f t="shared" si="8"/>
        <v>75880</v>
      </c>
      <c r="J96" s="12">
        <v>0</v>
      </c>
      <c r="K96" s="13" t="str">
        <f>IF(I96&lt;Paramètres!$C$11,"Cadre inférieur","Cadre supérieur")</f>
        <v>Cadre inférieur</v>
      </c>
      <c r="L96" s="11">
        <f>MIN(F96,MIN(N($E96)*Paramètres!$C$16,Paramètres!$D$16))+MIN(G96,MIN(N($E96)*Paramètres!$C$17,Paramètres!$D$17))+MIN(H96,MIN(N($E96)*Paramètres!$C$18,Paramètres!$D$18))</f>
        <v>32517</v>
      </c>
      <c r="M96" s="11">
        <f>MIN(N($E96),Paramètres!$C$7)*Paramètres!$C$6</f>
        <v>5961.835</v>
      </c>
      <c r="N96" s="11">
        <f>MIN(M96,I96*Paramètres!$C$8)</f>
        <v>5961.835</v>
      </c>
      <c r="O96" s="11">
        <f>I96*IF(K96="Cadre supérieur",Paramètres!$C$10,Paramètres!$C$9)</f>
        <v>18970</v>
      </c>
      <c r="P96" s="11">
        <f t="shared" si="9"/>
        <v>50900</v>
      </c>
      <c r="Q96" s="11">
        <f>SUMPRODUCT((P96&gt;Paramètres!$B$21:$B$27)*(P96-Paramètres!$B$21:$B$27)*Paramètres!$E$21:$E$27)</f>
        <v>2545.1</v>
      </c>
      <c r="R96" s="11">
        <f>Q96*INDEX(Paramètres!$C$31:$C$38,MIN(MAX(INT(N(J96)),0),7)+1)</f>
        <v>0</v>
      </c>
      <c r="S96" s="14">
        <f t="shared" si="10"/>
        <v>2545</v>
      </c>
      <c r="T96" s="11">
        <f>ROUND(N($E96)*Paramètres!$C$13,0)</f>
        <v>3252</v>
      </c>
      <c r="U96" s="11">
        <f>ROUND(MAX(0,N($E96)-(Q96-R96)-M96)*Paramètres!$C$12,0)</f>
        <v>999</v>
      </c>
      <c r="V96" s="14">
        <f t="shared" si="11"/>
        <v>98891</v>
      </c>
    </row>
    <row r="97" spans="2:22" ht="17.25" customHeight="1" x14ac:dyDescent="0.35">
      <c r="B97" s="7">
        <v>91</v>
      </c>
      <c r="C97" s="21" t="s">
        <v>116</v>
      </c>
      <c r="D97" s="9">
        <v>46183</v>
      </c>
      <c r="E97" s="10">
        <v>80000</v>
      </c>
      <c r="F97" s="11">
        <f>MIN(ROUNDDOWN(N($E97)*Paramètres!$C$16,0),Paramètres!$D$16)</f>
        <v>16000</v>
      </c>
      <c r="G97" s="11">
        <f>MIN(ROUNDDOWN(N($E97)*Paramètres!$C$17,0),Paramètres!$D$17)</f>
        <v>4000</v>
      </c>
      <c r="H97" s="11">
        <f>MIN(ROUNDDOWN(N($E97)*Paramètres!$C$18,0),Paramètres!$D$18)</f>
        <v>4000</v>
      </c>
      <c r="I97" s="11">
        <f t="shared" si="8"/>
        <v>56000</v>
      </c>
      <c r="J97" s="12">
        <v>0</v>
      </c>
      <c r="K97" s="13" t="str">
        <f>IF(I97&lt;Paramètres!$C$11,"Cadre inférieur","Cadre supérieur")</f>
        <v>Cadre inférieur</v>
      </c>
      <c r="L97" s="11">
        <f>MIN(F97,MIN(N($E97)*Paramètres!$C$16,Paramètres!$D$16))+MIN(G97,MIN(N($E97)*Paramètres!$C$17,Paramètres!$D$17))+MIN(H97,MIN(N($E97)*Paramètres!$C$18,Paramètres!$D$18))</f>
        <v>24000</v>
      </c>
      <c r="M97" s="11">
        <f>MIN(N($E97),Paramètres!$C$7)*Paramètres!$C$6</f>
        <v>4400</v>
      </c>
      <c r="N97" s="11">
        <f>MIN(M97,I97*Paramètres!$C$8)</f>
        <v>4400</v>
      </c>
      <c r="O97" s="11">
        <f>I97*IF(K97="Cadre supérieur",Paramètres!$C$10,Paramètres!$C$9)</f>
        <v>14000</v>
      </c>
      <c r="P97" s="11">
        <f t="shared" si="9"/>
        <v>37600</v>
      </c>
      <c r="Q97" s="11">
        <f>SUMPRODUCT((P97&gt;Paramètres!$B$21:$B$27)*(P97-Paramètres!$B$21:$B$27)*Paramètres!$E$21:$E$27)</f>
        <v>919.6</v>
      </c>
      <c r="R97" s="11">
        <f>Q97*INDEX(Paramètres!$C$31:$C$38,MIN(MAX(INT(N(J97)),0),7)+1)</f>
        <v>0</v>
      </c>
      <c r="S97" s="14">
        <f t="shared" si="10"/>
        <v>920</v>
      </c>
      <c r="T97" s="11">
        <f>ROUND(N($E97)*Paramètres!$C$13,0)</f>
        <v>2400</v>
      </c>
      <c r="U97" s="11">
        <f>ROUND(MAX(0,N($E97)-(Q97-R97)-M97)*Paramètres!$C$12,0)</f>
        <v>747</v>
      </c>
      <c r="V97" s="14">
        <f t="shared" si="11"/>
        <v>73933</v>
      </c>
    </row>
    <row r="98" spans="2:22" ht="17.25" customHeight="1" x14ac:dyDescent="0.35">
      <c r="B98" s="7">
        <v>92</v>
      </c>
      <c r="C98" s="21" t="s">
        <v>117</v>
      </c>
      <c r="D98" s="9"/>
      <c r="E98" s="10">
        <v>231913</v>
      </c>
      <c r="F98" s="11">
        <f>MIN(ROUNDDOWN(N($E98)*Paramètres!$C$16,0),Paramètres!$D$16)</f>
        <v>46382</v>
      </c>
      <c r="G98" s="11">
        <f>MIN(ROUNDDOWN(N($E98)*Paramètres!$C$17,0),Paramètres!$D$17)</f>
        <v>11595</v>
      </c>
      <c r="H98" s="11">
        <f>MIN(ROUNDDOWN(N($E98)*Paramètres!$C$18,0),Paramètres!$D$18)</f>
        <v>11595</v>
      </c>
      <c r="I98" s="11">
        <f t="shared" si="8"/>
        <v>162341</v>
      </c>
      <c r="J98" s="12">
        <v>0</v>
      </c>
      <c r="K98" s="13" t="str">
        <f>IF(I98&lt;Paramètres!$C$11,"Cadre inférieur","Cadre supérieur")</f>
        <v>Cadre supérieur</v>
      </c>
      <c r="L98" s="11">
        <f>MIN(F98,MIN(N($E98)*Paramètres!$C$16,Paramètres!$D$16))+MIN(G98,MIN(N($E98)*Paramètres!$C$17,Paramètres!$D$17))+MIN(H98,MIN(N($E98)*Paramètres!$C$18,Paramètres!$D$18))</f>
        <v>69572</v>
      </c>
      <c r="M98" s="11">
        <f>MIN(N($E98),Paramètres!$C$7)*Paramètres!$C$6</f>
        <v>12755.215</v>
      </c>
      <c r="N98" s="11">
        <f>MIN(M98,I98*Paramètres!$C$8)</f>
        <v>12755.215</v>
      </c>
      <c r="O98" s="11">
        <f>I98*IF(K98="Cadre supérieur",Paramètres!$C$10,Paramètres!$C$9)</f>
        <v>32468.2</v>
      </c>
      <c r="P98" s="11">
        <f t="shared" si="9"/>
        <v>117100</v>
      </c>
      <c r="Q98" s="11">
        <f>SUMPRODUCT((P98&gt;Paramètres!$B$21:$B$27)*(P98-Paramètres!$B$21:$B$27)*Paramètres!$E$21:$E$27)</f>
        <v>12414.7</v>
      </c>
      <c r="R98" s="11">
        <f>Q98*INDEX(Paramètres!$C$31:$C$38,MIN(MAX(INT(N(J98)),0),7)+1)</f>
        <v>0</v>
      </c>
      <c r="S98" s="14">
        <f t="shared" si="10"/>
        <v>12415</v>
      </c>
      <c r="T98" s="11">
        <f>ROUND(N($E98)*Paramètres!$C$13,0)</f>
        <v>6957</v>
      </c>
      <c r="U98" s="11">
        <f>ROUND(MAX(0,N($E98)-(Q98-R98)-M98)*Paramètres!$C$12,0)</f>
        <v>2067</v>
      </c>
      <c r="V98" s="14">
        <f t="shared" si="11"/>
        <v>204676</v>
      </c>
    </row>
    <row r="99" spans="2:22" ht="18" customHeight="1" x14ac:dyDescent="0.35">
      <c r="B99" s="7">
        <v>93</v>
      </c>
      <c r="C99" s="22" t="s">
        <v>118</v>
      </c>
      <c r="D99" s="23">
        <v>45778</v>
      </c>
      <c r="E99" s="10">
        <v>0</v>
      </c>
      <c r="F99" s="11">
        <f>MIN(ROUNDDOWN(N($E99)*Paramètres!$C$16,0),Paramètres!$D$16)</f>
        <v>0</v>
      </c>
      <c r="G99" s="11">
        <f>MIN(ROUNDDOWN(N($E99)*Paramètres!$C$17,0),Paramètres!$D$17)</f>
        <v>0</v>
      </c>
      <c r="H99" s="11">
        <f>MIN(ROUNDDOWN(N($E99)*Paramètres!$C$18,0),Paramètres!$D$18)</f>
        <v>0</v>
      </c>
      <c r="I99" s="11">
        <f t="shared" si="8"/>
        <v>0</v>
      </c>
      <c r="J99" s="12">
        <v>0</v>
      </c>
      <c r="K99" s="13" t="str">
        <f>IF(I99&lt;Paramètres!$C$11,"Cadre inférieur","Cadre supérieur")</f>
        <v>Cadre inférieur</v>
      </c>
      <c r="L99" s="11">
        <f>MIN(F99,MIN(N($E99)*Paramètres!$C$16,Paramètres!$D$16))+MIN(G99,MIN(N($E99)*Paramètres!$C$17,Paramètres!$D$17))+MIN(H99,MIN(N($E99)*Paramètres!$C$18,Paramètres!$D$18))</f>
        <v>0</v>
      </c>
      <c r="M99" s="11">
        <f>MIN(N($E99),Paramètres!$C$7)*Paramètres!$C$6</f>
        <v>0</v>
      </c>
      <c r="N99" s="11">
        <f>MIN(M99,I99*Paramètres!$C$8)</f>
        <v>0</v>
      </c>
      <c r="O99" s="11">
        <f>I99*IF(K99="Cadre supérieur",Paramètres!$C$10,Paramètres!$C$9)</f>
        <v>0</v>
      </c>
      <c r="P99" s="11">
        <f t="shared" si="9"/>
        <v>0</v>
      </c>
      <c r="Q99" s="11">
        <f>SUMPRODUCT((P99&gt;Paramètres!$B$21:$B$27)*(P99-Paramètres!$B$21:$B$27)*Paramètres!$E$21:$E$27)</f>
        <v>0</v>
      </c>
      <c r="R99" s="11">
        <f>Q99*INDEX(Paramètres!$C$31:$C$38,MIN(MAX(INT(N(J99)),0),7)+1)</f>
        <v>0</v>
      </c>
      <c r="S99" s="14">
        <f t="shared" si="10"/>
        <v>0</v>
      </c>
      <c r="T99" s="11">
        <f>ROUND(N($E99)*Paramètres!$C$13,0)</f>
        <v>0</v>
      </c>
      <c r="U99" s="11">
        <f>ROUND(MAX(0,N($E99)-(Q99-R99)-M99)*Paramètres!$C$12,0)</f>
        <v>0</v>
      </c>
      <c r="V99" s="14">
        <f t="shared" si="11"/>
        <v>0</v>
      </c>
    </row>
    <row r="100" spans="2:22" ht="20.25" customHeight="1" x14ac:dyDescent="0.4">
      <c r="B100" s="51" t="s">
        <v>119</v>
      </c>
      <c r="C100" s="51"/>
      <c r="D100" s="51"/>
      <c r="E100" s="24">
        <f>SUM(E7:E99)</f>
        <v>12800636</v>
      </c>
      <c r="F100" s="25">
        <f>SUM(F7:F99)</f>
        <v>2403927</v>
      </c>
      <c r="G100" s="25">
        <f>SUM(G7:G99)</f>
        <v>626671</v>
      </c>
      <c r="H100" s="25">
        <f>SUM(H7:H99)</f>
        <v>640012</v>
      </c>
      <c r="I100" s="25">
        <f>SUM(I7:I99)</f>
        <v>9130026</v>
      </c>
      <c r="L100" s="25">
        <f t="shared" ref="L100:V100" si="12">SUM(L7:L99)</f>
        <v>3670610</v>
      </c>
      <c r="M100" s="25">
        <f t="shared" si="12"/>
        <v>700359.33</v>
      </c>
      <c r="N100" s="25">
        <f t="shared" si="12"/>
        <v>700359.33</v>
      </c>
      <c r="O100" s="25">
        <f t="shared" si="12"/>
        <v>2108694.0499999998</v>
      </c>
      <c r="P100" s="25">
        <f t="shared" si="12"/>
        <v>6318000</v>
      </c>
      <c r="Q100" s="25">
        <f t="shared" si="12"/>
        <v>688802.69999999949</v>
      </c>
      <c r="R100" s="25">
        <f t="shared" si="12"/>
        <v>0</v>
      </c>
      <c r="S100" s="26">
        <f t="shared" si="12"/>
        <v>688802</v>
      </c>
      <c r="T100" s="25">
        <f t="shared" si="12"/>
        <v>384017</v>
      </c>
      <c r="U100" s="25">
        <f t="shared" si="12"/>
        <v>114112</v>
      </c>
      <c r="V100" s="26">
        <f t="shared" si="12"/>
        <v>11297364</v>
      </c>
    </row>
    <row r="101" spans="2:22" ht="21" customHeight="1" x14ac:dyDescent="0.35">
      <c r="B101" s="52" t="s">
        <v>120</v>
      </c>
      <c r="C101" s="52"/>
      <c r="D101" s="52"/>
      <c r="E101" s="27">
        <f>SUM(E100:E100)</f>
        <v>12800636</v>
      </c>
      <c r="S101" s="28">
        <f>S100</f>
        <v>688802</v>
      </c>
      <c r="T101" s="29">
        <f>T100</f>
        <v>384017</v>
      </c>
      <c r="U101" s="29">
        <f>U100</f>
        <v>114112</v>
      </c>
      <c r="V101" s="28">
        <f>V100</f>
        <v>11297364</v>
      </c>
    </row>
    <row r="103" spans="2:22" x14ac:dyDescent="0.35">
      <c r="C103" s="30" t="s">
        <v>121</v>
      </c>
    </row>
    <row r="104" spans="2:22" x14ac:dyDescent="0.35">
      <c r="C104" s="31" t="s">
        <v>122</v>
      </c>
    </row>
    <row r="105" spans="2:22" x14ac:dyDescent="0.35">
      <c r="C105" s="31" t="s">
        <v>123</v>
      </c>
    </row>
    <row r="106" spans="2:22" x14ac:dyDescent="0.35">
      <c r="C106" s="31" t="s">
        <v>124</v>
      </c>
    </row>
    <row r="107" spans="2:22" x14ac:dyDescent="0.35">
      <c r="C107" s="31" t="s">
        <v>125</v>
      </c>
    </row>
    <row r="108" spans="2:22" x14ac:dyDescent="0.35">
      <c r="C108" s="31" t="s">
        <v>126</v>
      </c>
    </row>
  </sheetData>
  <mergeCells count="9">
    <mergeCell ref="L5:S5"/>
    <mergeCell ref="T5:V5"/>
    <mergeCell ref="B100:D100"/>
    <mergeCell ref="B101:D101"/>
    <mergeCell ref="B4:E4"/>
    <mergeCell ref="B5:C5"/>
    <mergeCell ref="D5:E5"/>
    <mergeCell ref="F5:I5"/>
    <mergeCell ref="J5:K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V96"/>
  <sheetViews>
    <sheetView topLeftCell="C1" zoomScaleNormal="100" workbookViewId="0">
      <pane xSplit="3" ySplit="6" topLeftCell="F7" activePane="bottomRight" state="frozen"/>
      <selection activeCell="C17" sqref="C17"/>
      <selection pane="topRight" activeCell="C17" sqref="C17"/>
      <selection pane="bottomLeft" activeCell="C17" sqref="C17"/>
      <selection pane="bottomRight" activeCell="C15" sqref="A15:XFD15"/>
    </sheetView>
  </sheetViews>
  <sheetFormatPr baseColWidth="10" defaultColWidth="11.54296875" defaultRowHeight="14.5" x14ac:dyDescent="0.35"/>
  <cols>
    <col min="3" max="3" width="37.1796875" customWidth="1"/>
    <col min="4" max="8" width="18.81640625" customWidth="1"/>
    <col min="9" max="9" width="13" customWidth="1"/>
    <col min="10" max="10" width="9" customWidth="1"/>
    <col min="11" max="11" width="15" customWidth="1"/>
    <col min="12" max="18" width="13" customWidth="1"/>
    <col min="19" max="19" width="15" customWidth="1"/>
    <col min="20" max="21" width="13" customWidth="1"/>
    <col min="22" max="22" width="16" customWidth="1"/>
  </cols>
  <sheetData>
    <row r="2" spans="2:22" x14ac:dyDescent="0.35">
      <c r="C2" s="1"/>
      <c r="D2" s="1"/>
      <c r="E2" s="1"/>
      <c r="F2" s="1"/>
      <c r="G2" s="1"/>
      <c r="H2" s="1"/>
    </row>
    <row r="3" spans="2:22" ht="15" customHeight="1" x14ac:dyDescent="0.35"/>
    <row r="4" spans="2:22" ht="21.75" customHeight="1" x14ac:dyDescent="0.35">
      <c r="B4" s="53" t="s">
        <v>0</v>
      </c>
      <c r="C4" s="53"/>
      <c r="D4" s="53"/>
      <c r="E4" s="53"/>
      <c r="F4" s="53"/>
      <c r="G4" s="53"/>
      <c r="H4" s="53"/>
      <c r="I4" s="53"/>
    </row>
    <row r="5" spans="2:22" ht="21.75" customHeight="1" x14ac:dyDescent="0.4">
      <c r="B5" s="54" t="s">
        <v>1</v>
      </c>
      <c r="C5" s="54"/>
      <c r="D5" s="58" t="s">
        <v>127</v>
      </c>
      <c r="E5" s="58"/>
      <c r="F5" s="58"/>
      <c r="G5" s="58"/>
      <c r="H5" s="58"/>
      <c r="I5" s="58"/>
      <c r="J5" s="57" t="s">
        <v>3</v>
      </c>
      <c r="K5" s="57"/>
      <c r="L5" s="49" t="s">
        <v>4</v>
      </c>
      <c r="M5" s="49"/>
      <c r="N5" s="49"/>
      <c r="O5" s="49"/>
      <c r="P5" s="49"/>
      <c r="Q5" s="49"/>
      <c r="R5" s="49"/>
      <c r="S5" s="49"/>
      <c r="T5" s="50" t="s">
        <v>5</v>
      </c>
      <c r="U5" s="50"/>
      <c r="V5" s="50"/>
    </row>
    <row r="6" spans="2:22" ht="27" customHeight="1" x14ac:dyDescent="0.35">
      <c r="B6" s="2" t="s">
        <v>6</v>
      </c>
      <c r="C6" s="3" t="s">
        <v>7</v>
      </c>
      <c r="D6" s="4" t="s">
        <v>8</v>
      </c>
      <c r="E6" s="4" t="s">
        <v>128</v>
      </c>
      <c r="F6" s="4" t="s">
        <v>9</v>
      </c>
      <c r="G6" s="4" t="s">
        <v>10</v>
      </c>
      <c r="H6" s="4" t="s">
        <v>11</v>
      </c>
      <c r="I6" s="32" t="s">
        <v>129</v>
      </c>
      <c r="J6" s="6" t="s">
        <v>13</v>
      </c>
      <c r="K6" s="6" t="s">
        <v>14</v>
      </c>
      <c r="L6" s="6" t="s">
        <v>15</v>
      </c>
      <c r="M6" s="6" t="s">
        <v>16</v>
      </c>
      <c r="N6" s="6" t="s">
        <v>17</v>
      </c>
      <c r="O6" s="6" t="s">
        <v>18</v>
      </c>
      <c r="P6" s="6" t="s">
        <v>19</v>
      </c>
      <c r="Q6" s="6" t="s">
        <v>20</v>
      </c>
      <c r="R6" s="6" t="s">
        <v>21</v>
      </c>
      <c r="S6" s="6" t="s">
        <v>22</v>
      </c>
      <c r="T6" s="6" t="s">
        <v>23</v>
      </c>
      <c r="U6" s="6" t="s">
        <v>24</v>
      </c>
      <c r="V6" s="6" t="s">
        <v>25</v>
      </c>
    </row>
    <row r="7" spans="2:22" ht="17.25" customHeight="1" x14ac:dyDescent="0.35">
      <c r="B7" s="7">
        <v>1</v>
      </c>
      <c r="C7" s="8" t="s">
        <v>26</v>
      </c>
      <c r="D7" s="9">
        <v>46242</v>
      </c>
      <c r="E7" s="33">
        <f t="shared" ref="E7:E38" si="0">+I7-(F7+G7+H7)</f>
        <v>56000</v>
      </c>
      <c r="F7" s="34">
        <v>16000</v>
      </c>
      <c r="G7" s="34">
        <v>4000</v>
      </c>
      <c r="H7" s="34">
        <v>4000</v>
      </c>
      <c r="I7" s="35">
        <v>80000</v>
      </c>
      <c r="J7" s="12">
        <v>0</v>
      </c>
      <c r="K7" s="13" t="str">
        <f>IF(E7&lt;Paramètres!$C$11,"Cadre inférieur","Cadre supérieur")</f>
        <v>Cadre inférieur</v>
      </c>
      <c r="L7" s="11">
        <f>MIN(F7,MIN(N($I7)*Paramètres!$C$16,Paramètres!$D$16))+MIN(G7,MIN(N($I7)*Paramètres!$C$17,Paramètres!$D$17))+MIN(H7,MIN(N($I7)*Paramètres!$C$18,Paramètres!$D$18))</f>
        <v>24000</v>
      </c>
      <c r="M7" s="11">
        <f>MIN(N($I7),Paramètres!$C$7)*Paramètres!$C$6</f>
        <v>4400</v>
      </c>
      <c r="N7" s="11">
        <f>MIN(M7,E7*Paramètres!$C$8)</f>
        <v>4400</v>
      </c>
      <c r="O7" s="11">
        <f>E7*IF(K7="Cadre supérieur",Paramètres!$C$10,Paramètres!$C$9)</f>
        <v>14000</v>
      </c>
      <c r="P7" s="11">
        <f t="shared" ref="P7:P38" si="1">MAX(0,ROUNDDOWN(N($I7)-L7-N7-O7,-2))</f>
        <v>37600</v>
      </c>
      <c r="Q7" s="11">
        <f>SUMPRODUCT((P7&gt;Paramètres!$B$21:$B$27)*(P7-Paramètres!$B$21:$B$27)*Paramètres!$E$21:$E$27)</f>
        <v>919.6</v>
      </c>
      <c r="R7" s="11">
        <f>Q7*INDEX(Paramètres!$C$31:$C$38,MIN(MAX(INT(N(J7)),0),7)+1)</f>
        <v>0</v>
      </c>
      <c r="S7" s="14">
        <f t="shared" ref="S7:S38" si="2">ROUND(Q7-R7,0)</f>
        <v>920</v>
      </c>
      <c r="T7" s="11">
        <f>ROUND(N($I7)*Paramètres!$C$13,0)</f>
        <v>2400</v>
      </c>
      <c r="U7" s="11">
        <f>ROUND(MAX(0,N($I7)-(Q7-R7)-M7)*Paramètres!$C$12,0)</f>
        <v>747</v>
      </c>
      <c r="V7" s="14">
        <f t="shared" ref="V7:V38" si="3">ROUND(N($I7)-M7-S7-U7,0)</f>
        <v>73933</v>
      </c>
    </row>
    <row r="8" spans="2:22" s="15" customFormat="1" ht="17.25" customHeight="1" x14ac:dyDescent="0.35">
      <c r="B8" s="7">
        <v>2</v>
      </c>
      <c r="C8" s="8" t="s">
        <v>27</v>
      </c>
      <c r="D8" s="9">
        <v>46196</v>
      </c>
      <c r="E8" s="33">
        <f t="shared" si="0"/>
        <v>95189</v>
      </c>
      <c r="F8" s="36">
        <f>MIN(ROUNDDOWN(N($I8)*Paramètres!$C$16,0),Paramètres!$D$16)</f>
        <v>27196</v>
      </c>
      <c r="G8" s="36">
        <f>MIN(ROUNDDOWN(N($I8)*Paramètres!$C$17,0),Paramètres!$D$17)</f>
        <v>6799</v>
      </c>
      <c r="H8" s="36">
        <f>MIN(ROUNDDOWN(N($I8)*Paramètres!$C$18,0),Paramètres!$D$18)</f>
        <v>6799</v>
      </c>
      <c r="I8" s="35">
        <v>135983</v>
      </c>
      <c r="J8" s="12">
        <v>0</v>
      </c>
      <c r="K8" s="13" t="str">
        <f>IF(E8&lt;Paramètres!$C$11,"Cadre inférieur","Cadre supérieur")</f>
        <v>Cadre inférieur</v>
      </c>
      <c r="L8" s="11">
        <f>MIN(F8,MIN(N($I8)*Paramètres!$C$16,Paramètres!$D$16))+MIN(G8,MIN(N($I8)*Paramètres!$C$17,Paramètres!$D$17))+MIN(H8,MIN(N($I8)*Paramètres!$C$18,Paramètres!$D$18))</f>
        <v>40794</v>
      </c>
      <c r="M8" s="11">
        <f>MIN(N($I8),Paramètres!$C$7)*Paramètres!$C$6</f>
        <v>7479.0649999999996</v>
      </c>
      <c r="N8" s="11">
        <f>MIN(M8,E8*Paramètres!$C$8)</f>
        <v>7479.0649999999996</v>
      </c>
      <c r="O8" s="11">
        <f>E8*IF(K8="Cadre supérieur",Paramètres!$C$10,Paramètres!$C$9)</f>
        <v>23797.25</v>
      </c>
      <c r="P8" s="11">
        <f t="shared" si="1"/>
        <v>63900</v>
      </c>
      <c r="Q8" s="11">
        <f>SUMPRODUCT((P8&gt;Paramètres!$B$21:$B$27)*(P8-Paramètres!$B$21:$B$27)*Paramètres!$E$21:$E$27)</f>
        <v>4352.0999999999995</v>
      </c>
      <c r="R8" s="11">
        <f>Q8*INDEX(Paramètres!$C$31:$C$38,MIN(MAX(INT(N(J8)),0),7)+1)</f>
        <v>0</v>
      </c>
      <c r="S8" s="14">
        <f t="shared" si="2"/>
        <v>4352</v>
      </c>
      <c r="T8" s="11">
        <f>ROUND(N($I8)*Paramètres!$C$13,0)</f>
        <v>4079</v>
      </c>
      <c r="U8" s="11">
        <f>ROUND(MAX(0,N($I8)-(Q8-R8)-M8)*Paramètres!$C$12,0)</f>
        <v>1242</v>
      </c>
      <c r="V8" s="14">
        <f t="shared" si="3"/>
        <v>122910</v>
      </c>
    </row>
    <row r="9" spans="2:22" ht="17.25" customHeight="1" x14ac:dyDescent="0.35">
      <c r="B9" s="7">
        <v>3</v>
      </c>
      <c r="C9" s="8" t="s">
        <v>28</v>
      </c>
      <c r="D9" s="9">
        <v>46000</v>
      </c>
      <c r="E9" s="33">
        <f t="shared" si="0"/>
        <v>124172</v>
      </c>
      <c r="F9" s="36">
        <f>MIN(ROUNDDOWN(N($I9)*Paramètres!$C$16,0),Paramètres!$D$16)</f>
        <v>35477</v>
      </c>
      <c r="G9" s="36">
        <f>MIN(ROUNDDOWN(N($I9)*Paramètres!$C$17,0),Paramètres!$D$17)</f>
        <v>8869</v>
      </c>
      <c r="H9" s="36">
        <f>MIN(ROUNDDOWN(N($I9)*Paramètres!$C$18,0),Paramètres!$D$18)</f>
        <v>8869</v>
      </c>
      <c r="I9" s="35">
        <v>177387</v>
      </c>
      <c r="J9" s="12">
        <v>0</v>
      </c>
      <c r="K9" s="13" t="str">
        <f>IF(E9&lt;Paramètres!$C$11,"Cadre inférieur","Cadre supérieur")</f>
        <v>Cadre inférieur</v>
      </c>
      <c r="L9" s="11">
        <f>MIN(F9,MIN(N($I9)*Paramètres!$C$16,Paramètres!$D$16))+MIN(G9,MIN(N($I9)*Paramètres!$C$17,Paramètres!$D$17))+MIN(H9,MIN(N($I9)*Paramètres!$C$18,Paramètres!$D$18))</f>
        <v>53215</v>
      </c>
      <c r="M9" s="11">
        <f>MIN(N($I9),Paramètres!$C$7)*Paramètres!$C$6</f>
        <v>9756.2849999999999</v>
      </c>
      <c r="N9" s="11">
        <f>MIN(M9,E9*Paramètres!$C$8)</f>
        <v>9756.2849999999999</v>
      </c>
      <c r="O9" s="11">
        <f>E9*IF(K9="Cadre supérieur",Paramètres!$C$10,Paramètres!$C$9)</f>
        <v>31043</v>
      </c>
      <c r="P9" s="11">
        <f t="shared" si="1"/>
        <v>83300</v>
      </c>
      <c r="Q9" s="11">
        <f>SUMPRODUCT((P9&gt;Paramètres!$B$21:$B$27)*(P9-Paramètres!$B$21:$B$27)*Paramètres!$E$21:$E$27)</f>
        <v>7108.1</v>
      </c>
      <c r="R9" s="11">
        <f>Q9*INDEX(Paramètres!$C$31:$C$38,MIN(MAX(INT(N(J9)),0),7)+1)</f>
        <v>0</v>
      </c>
      <c r="S9" s="14">
        <f t="shared" si="2"/>
        <v>7108</v>
      </c>
      <c r="T9" s="11">
        <f>ROUND(N($I9)*Paramètres!$C$13,0)</f>
        <v>5322</v>
      </c>
      <c r="U9" s="11">
        <f>ROUND(MAX(0,N($I9)-(Q9-R9)-M9)*Paramètres!$C$12,0)</f>
        <v>1605</v>
      </c>
      <c r="V9" s="14">
        <f t="shared" si="3"/>
        <v>158918</v>
      </c>
    </row>
    <row r="10" spans="2:22" ht="17.25" customHeight="1" x14ac:dyDescent="0.35">
      <c r="B10" s="7">
        <v>4</v>
      </c>
      <c r="C10" s="8" t="s">
        <v>29</v>
      </c>
      <c r="D10" s="9">
        <v>45677</v>
      </c>
      <c r="E10" s="33">
        <f t="shared" si="0"/>
        <v>242562</v>
      </c>
      <c r="F10" s="36">
        <f>MIN(ROUNDDOWN(N($I10)*Paramètres!$C$16,0),Paramètres!$D$16)</f>
        <v>69303</v>
      </c>
      <c r="G10" s="36">
        <f>MIN(ROUNDDOWN(N($I10)*Paramètres!$C$17,0),Paramètres!$D$17)</f>
        <v>17325</v>
      </c>
      <c r="H10" s="36">
        <f>MIN(ROUNDDOWN(N($I10)*Paramètres!$C$18,0),Paramètres!$D$18)</f>
        <v>17325</v>
      </c>
      <c r="I10" s="35">
        <v>346515</v>
      </c>
      <c r="J10" s="12">
        <v>0</v>
      </c>
      <c r="K10" s="13" t="str">
        <f>IF(E10&lt;Paramètres!$C$11,"Cadre inférieur","Cadre supérieur")</f>
        <v>Cadre supérieur</v>
      </c>
      <c r="L10" s="11">
        <f>MIN(F10,MIN(N($I10)*Paramètres!$C$16,Paramètres!$D$16))+MIN(G10,MIN(N($I10)*Paramètres!$C$17,Paramètres!$D$17))+MIN(H10,MIN(N($I10)*Paramètres!$C$18,Paramètres!$D$18))</f>
        <v>103953</v>
      </c>
      <c r="M10" s="11">
        <f>MIN(N($I10),Paramètres!$C$7)*Paramètres!$C$6</f>
        <v>19058.325000000001</v>
      </c>
      <c r="N10" s="11">
        <f>MIN(M10,E10*Paramètres!$C$8)</f>
        <v>19058.325000000001</v>
      </c>
      <c r="O10" s="11">
        <f>E10*IF(K10="Cadre supérieur",Paramètres!$C$10,Paramètres!$C$9)</f>
        <v>48512.4</v>
      </c>
      <c r="P10" s="11">
        <f t="shared" si="1"/>
        <v>174900</v>
      </c>
      <c r="Q10" s="11">
        <f>SUMPRODUCT((P10&gt;Paramètres!$B$21:$B$27)*(P10-Paramètres!$B$21:$B$27)*Paramètres!$E$21:$E$27)</f>
        <v>23133.299999999996</v>
      </c>
      <c r="R10" s="11">
        <f>Q10*INDEX(Paramètres!$C$31:$C$38,MIN(MAX(INT(N(J10)),0),7)+1)</f>
        <v>0</v>
      </c>
      <c r="S10" s="14">
        <f t="shared" si="2"/>
        <v>23133</v>
      </c>
      <c r="T10" s="11">
        <f>ROUND(N($I10)*Paramètres!$C$13,0)</f>
        <v>10395</v>
      </c>
      <c r="U10" s="11">
        <f>ROUND(MAX(0,N($I10)-(Q10-R10)-M10)*Paramètres!$C$12,0)</f>
        <v>3043</v>
      </c>
      <c r="V10" s="14">
        <f t="shared" si="3"/>
        <v>301281</v>
      </c>
    </row>
    <row r="11" spans="2:22" ht="17.25" customHeight="1" x14ac:dyDescent="0.35">
      <c r="B11" s="7">
        <v>5</v>
      </c>
      <c r="C11" s="8" t="s">
        <v>30</v>
      </c>
      <c r="D11" s="9">
        <v>46023</v>
      </c>
      <c r="E11" s="33">
        <f t="shared" si="0"/>
        <v>115738</v>
      </c>
      <c r="F11" s="36">
        <f>MIN(ROUNDDOWN(N($I11)*Paramètres!$C$16,0),Paramètres!$D$16)</f>
        <v>33068</v>
      </c>
      <c r="G11" s="36">
        <f>MIN(ROUNDDOWN(N($I11)*Paramètres!$C$17,0),Paramètres!$D$17)</f>
        <v>8267</v>
      </c>
      <c r="H11" s="36">
        <f>MIN(ROUNDDOWN(N($I11)*Paramètres!$C$18,0),Paramètres!$D$18)</f>
        <v>8267</v>
      </c>
      <c r="I11" s="35">
        <v>165340</v>
      </c>
      <c r="J11" s="12">
        <v>0</v>
      </c>
      <c r="K11" s="13" t="str">
        <f>IF(E11&lt;Paramètres!$C$11,"Cadre inférieur","Cadre supérieur")</f>
        <v>Cadre inférieur</v>
      </c>
      <c r="L11" s="11">
        <f>MIN(F11,MIN(N($I11)*Paramètres!$C$16,Paramètres!$D$16))+MIN(G11,MIN(N($I11)*Paramètres!$C$17,Paramètres!$D$17))+MIN(H11,MIN(N($I11)*Paramètres!$C$18,Paramètres!$D$18))</f>
        <v>49602</v>
      </c>
      <c r="M11" s="11">
        <f>MIN(N($I11),Paramètres!$C$7)*Paramètres!$C$6</f>
        <v>9093.7000000000007</v>
      </c>
      <c r="N11" s="11">
        <f>MIN(M11,E11*Paramètres!$C$8)</f>
        <v>9093.7000000000007</v>
      </c>
      <c r="O11" s="11">
        <f>E11*IF(K11="Cadre supérieur",Paramètres!$C$10,Paramètres!$C$9)</f>
        <v>28934.5</v>
      </c>
      <c r="P11" s="11">
        <f t="shared" si="1"/>
        <v>77700</v>
      </c>
      <c r="Q11" s="11">
        <f>SUMPRODUCT((P11&gt;Paramètres!$B$21:$B$27)*(P11-Paramètres!$B$21:$B$27)*Paramètres!$E$21:$E$27)</f>
        <v>6270.3</v>
      </c>
      <c r="R11" s="11">
        <f>Q11*INDEX(Paramètres!$C$31:$C$38,MIN(MAX(INT(N(J11)),0),7)+1)</f>
        <v>0</v>
      </c>
      <c r="S11" s="14">
        <f t="shared" si="2"/>
        <v>6270</v>
      </c>
      <c r="T11" s="11">
        <f>ROUND(N($I11)*Paramètres!$C$13,0)</f>
        <v>4960</v>
      </c>
      <c r="U11" s="11">
        <f>ROUND(MAX(0,N($I11)-(Q11-R11)-M11)*Paramètres!$C$12,0)</f>
        <v>1500</v>
      </c>
      <c r="V11" s="14">
        <f t="shared" si="3"/>
        <v>148476</v>
      </c>
    </row>
    <row r="12" spans="2:22" ht="17.25" customHeight="1" x14ac:dyDescent="0.35">
      <c r="B12" s="7">
        <v>6</v>
      </c>
      <c r="C12" s="8" t="s">
        <v>31</v>
      </c>
      <c r="D12" s="9">
        <v>46217</v>
      </c>
      <c r="E12" s="33">
        <f t="shared" si="0"/>
        <v>124172</v>
      </c>
      <c r="F12" s="36">
        <f>MIN(ROUNDDOWN(N($I12)*Paramètres!$C$16,0),Paramètres!$D$16)</f>
        <v>35477</v>
      </c>
      <c r="G12" s="36">
        <f>MIN(ROUNDDOWN(N($I12)*Paramètres!$C$17,0),Paramètres!$D$17)</f>
        <v>8869</v>
      </c>
      <c r="H12" s="36">
        <f>MIN(ROUNDDOWN(N($I12)*Paramètres!$C$18,0),Paramètres!$D$18)</f>
        <v>8869</v>
      </c>
      <c r="I12" s="35">
        <v>177387</v>
      </c>
      <c r="J12" s="12">
        <v>0</v>
      </c>
      <c r="K12" s="13" t="str">
        <f>IF(E12&lt;Paramètres!$C$11,"Cadre inférieur","Cadre supérieur")</f>
        <v>Cadre inférieur</v>
      </c>
      <c r="L12" s="11">
        <f>MIN(F12,MIN(N($I12)*Paramètres!$C$16,Paramètres!$D$16))+MIN(G12,MIN(N($I12)*Paramètres!$C$17,Paramètres!$D$17))+MIN(H12,MIN(N($I12)*Paramètres!$C$18,Paramètres!$D$18))</f>
        <v>53215</v>
      </c>
      <c r="M12" s="11">
        <f>MIN(N($I12),Paramètres!$C$7)*Paramètres!$C$6</f>
        <v>9756.2849999999999</v>
      </c>
      <c r="N12" s="11">
        <f>MIN(M12,E12*Paramètres!$C$8)</f>
        <v>9756.2849999999999</v>
      </c>
      <c r="O12" s="11">
        <f>E12*IF(K12="Cadre supérieur",Paramètres!$C$10,Paramètres!$C$9)</f>
        <v>31043</v>
      </c>
      <c r="P12" s="11">
        <f t="shared" si="1"/>
        <v>83300</v>
      </c>
      <c r="Q12" s="11">
        <f>SUMPRODUCT((P12&gt;Paramètres!$B$21:$B$27)*(P12-Paramètres!$B$21:$B$27)*Paramètres!$E$21:$E$27)</f>
        <v>7108.1</v>
      </c>
      <c r="R12" s="11">
        <f>Q12*INDEX(Paramètres!$C$31:$C$38,MIN(MAX(INT(N(J12)),0),7)+1)</f>
        <v>0</v>
      </c>
      <c r="S12" s="14">
        <f t="shared" si="2"/>
        <v>7108</v>
      </c>
      <c r="T12" s="11">
        <f>ROUND(N($I12)*Paramètres!$C$13,0)</f>
        <v>5322</v>
      </c>
      <c r="U12" s="11">
        <f>ROUND(MAX(0,N($I12)-(Q12-R12)-M12)*Paramètres!$C$12,0)</f>
        <v>1605</v>
      </c>
      <c r="V12" s="14">
        <f t="shared" si="3"/>
        <v>158918</v>
      </c>
    </row>
    <row r="13" spans="2:22" ht="17.25" customHeight="1" x14ac:dyDescent="0.35">
      <c r="B13" s="7">
        <v>7</v>
      </c>
      <c r="C13" s="8" t="s">
        <v>32</v>
      </c>
      <c r="D13" s="9">
        <v>46174</v>
      </c>
      <c r="E13" s="33">
        <f t="shared" si="0"/>
        <v>136840</v>
      </c>
      <c r="F13" s="36">
        <f>MIN(ROUNDDOWN(N($I13)*Paramètres!$C$16,0),Paramètres!$D$16)</f>
        <v>39096</v>
      </c>
      <c r="G13" s="36">
        <f>MIN(ROUNDDOWN(N($I13)*Paramètres!$C$17,0),Paramètres!$D$17)</f>
        <v>9774</v>
      </c>
      <c r="H13" s="36">
        <f>MIN(ROUNDDOWN(N($I13)*Paramètres!$C$18,0),Paramètres!$D$18)</f>
        <v>9774</v>
      </c>
      <c r="I13" s="35">
        <v>195484</v>
      </c>
      <c r="J13" s="12">
        <v>0</v>
      </c>
      <c r="K13" s="13" t="str">
        <f>IF(E13&lt;Paramètres!$C$11,"Cadre inférieur","Cadre supérieur")</f>
        <v>Cadre inférieur</v>
      </c>
      <c r="L13" s="11">
        <f>MIN(F13,MIN(N($I13)*Paramètres!$C$16,Paramètres!$D$16))+MIN(G13,MIN(N($I13)*Paramètres!$C$17,Paramètres!$D$17))+MIN(H13,MIN(N($I13)*Paramètres!$C$18,Paramètres!$D$18))</f>
        <v>58644</v>
      </c>
      <c r="M13" s="11">
        <f>MIN(N($I13),Paramètres!$C$7)*Paramètres!$C$6</f>
        <v>10751.62</v>
      </c>
      <c r="N13" s="11">
        <f>MIN(M13,E13*Paramètres!$C$8)</f>
        <v>10751.62</v>
      </c>
      <c r="O13" s="11">
        <f>E13*IF(K13="Cadre supérieur",Paramètres!$C$10,Paramètres!$C$9)</f>
        <v>34210</v>
      </c>
      <c r="P13" s="11">
        <f t="shared" si="1"/>
        <v>91800</v>
      </c>
      <c r="Q13" s="11">
        <f>SUMPRODUCT((P13&gt;Paramètres!$B$21:$B$27)*(P13-Paramètres!$B$21:$B$27)*Paramètres!$E$21:$E$27)</f>
        <v>8442.6</v>
      </c>
      <c r="R13" s="11">
        <f>Q13*INDEX(Paramètres!$C$31:$C$38,MIN(MAX(INT(N(J13)),0),7)+1)</f>
        <v>0</v>
      </c>
      <c r="S13" s="14">
        <f t="shared" si="2"/>
        <v>8443</v>
      </c>
      <c r="T13" s="11">
        <f>ROUND(N($I13)*Paramètres!$C$13,0)</f>
        <v>5865</v>
      </c>
      <c r="U13" s="11">
        <f>ROUND(MAX(0,N($I13)-(Q13-R13)-M13)*Paramètres!$C$12,0)</f>
        <v>1763</v>
      </c>
      <c r="V13" s="14">
        <f t="shared" si="3"/>
        <v>174526</v>
      </c>
    </row>
    <row r="14" spans="2:22" ht="17.25" customHeight="1" x14ac:dyDescent="0.35">
      <c r="B14" s="7">
        <v>8</v>
      </c>
      <c r="C14" s="8" t="s">
        <v>33</v>
      </c>
      <c r="D14" s="9">
        <v>45778</v>
      </c>
      <c r="E14" s="33">
        <f t="shared" si="0"/>
        <v>149497</v>
      </c>
      <c r="F14" s="36">
        <f>MIN(ROUNDDOWN(N($I14)*Paramètres!$C$16,0),Paramètres!$D$16)</f>
        <v>42713</v>
      </c>
      <c r="G14" s="36">
        <f>MIN(ROUNDDOWN(N($I14)*Paramètres!$C$17,0),Paramètres!$D$17)</f>
        <v>10678</v>
      </c>
      <c r="H14" s="36">
        <f>MIN(ROUNDDOWN(N($I14)*Paramètres!$C$18,0),Paramètres!$D$18)</f>
        <v>10678</v>
      </c>
      <c r="I14" s="35">
        <v>213566</v>
      </c>
      <c r="J14" s="12">
        <v>0</v>
      </c>
      <c r="K14" s="13" t="str">
        <f>IF(E14&lt;Paramètres!$C$11,"Cadre inférieur","Cadre supérieur")</f>
        <v>Cadre inférieur</v>
      </c>
      <c r="L14" s="11">
        <f>MIN(F14,MIN(N($I14)*Paramètres!$C$16,Paramètres!$D$16))+MIN(G14,MIN(N($I14)*Paramètres!$C$17,Paramètres!$D$17))+MIN(H14,MIN(N($I14)*Paramètres!$C$18,Paramètres!$D$18))</f>
        <v>64069</v>
      </c>
      <c r="M14" s="11">
        <f>MIN(N($I14),Paramètres!$C$7)*Paramètres!$C$6</f>
        <v>11746.13</v>
      </c>
      <c r="N14" s="11">
        <f>MIN(M14,E14*Paramètres!$C$8)</f>
        <v>11746.13</v>
      </c>
      <c r="O14" s="11">
        <f>E14*IF(K14="Cadre supérieur",Paramètres!$C$10,Paramètres!$C$9)</f>
        <v>37374.25</v>
      </c>
      <c r="P14" s="11">
        <f t="shared" si="1"/>
        <v>100300</v>
      </c>
      <c r="Q14" s="11">
        <f>SUMPRODUCT((P14&gt;Paramètres!$B$21:$B$27)*(P14-Paramètres!$B$21:$B$27)*Paramètres!$E$21:$E$27)</f>
        <v>9777.1</v>
      </c>
      <c r="R14" s="11">
        <f>Q14*INDEX(Paramètres!$C$31:$C$38,MIN(MAX(INT(N(J14)),0),7)+1)</f>
        <v>0</v>
      </c>
      <c r="S14" s="14">
        <f t="shared" si="2"/>
        <v>9777</v>
      </c>
      <c r="T14" s="11">
        <f>ROUND(N($I14)*Paramètres!$C$13,0)</f>
        <v>6407</v>
      </c>
      <c r="U14" s="11">
        <f>ROUND(MAX(0,N($I14)-(Q14-R14)-M14)*Paramètres!$C$12,0)</f>
        <v>1920</v>
      </c>
      <c r="V14" s="14">
        <f t="shared" si="3"/>
        <v>190123</v>
      </c>
    </row>
    <row r="15" spans="2:22" ht="17.25" customHeight="1" x14ac:dyDescent="0.35">
      <c r="B15" s="7">
        <v>9</v>
      </c>
      <c r="C15" s="8" t="s">
        <v>34</v>
      </c>
      <c r="D15" s="9">
        <v>46250</v>
      </c>
      <c r="E15" s="33">
        <f t="shared" si="0"/>
        <v>115738</v>
      </c>
      <c r="F15" s="36">
        <f>MIN(ROUNDDOWN(N($I15)*Paramètres!$C$16,0),Paramètres!$D$16)</f>
        <v>33068</v>
      </c>
      <c r="G15" s="36">
        <f>MIN(ROUNDDOWN(N($I15)*Paramètres!$C$17,0),Paramètres!$D$17)</f>
        <v>8267</v>
      </c>
      <c r="H15" s="36">
        <f>MIN(ROUNDDOWN(N($I15)*Paramètres!$C$18,0),Paramètres!$D$18)</f>
        <v>8267</v>
      </c>
      <c r="I15" s="35">
        <v>165340</v>
      </c>
      <c r="J15" s="12">
        <v>0</v>
      </c>
      <c r="K15" s="13" t="str">
        <f>IF(E15&lt;Paramètres!$C$11,"Cadre inférieur","Cadre supérieur")</f>
        <v>Cadre inférieur</v>
      </c>
      <c r="L15" s="11">
        <f>MIN(F15,MIN(N($I15)*Paramètres!$C$16,Paramètres!$D$16))+MIN(G15,MIN(N($I15)*Paramètres!$C$17,Paramètres!$D$17))+MIN(H15,MIN(N($I15)*Paramètres!$C$18,Paramètres!$D$18))</f>
        <v>49602</v>
      </c>
      <c r="M15" s="11">
        <f>MIN(N($I15),Paramètres!$C$7)*Paramètres!$C$6</f>
        <v>9093.7000000000007</v>
      </c>
      <c r="N15" s="11">
        <f>MIN(M15,E15*Paramètres!$C$8)</f>
        <v>9093.7000000000007</v>
      </c>
      <c r="O15" s="11">
        <f>E15*IF(K15="Cadre supérieur",Paramètres!$C$10,Paramètres!$C$9)</f>
        <v>28934.5</v>
      </c>
      <c r="P15" s="11">
        <f t="shared" si="1"/>
        <v>77700</v>
      </c>
      <c r="Q15" s="11">
        <f>SUMPRODUCT((P15&gt;Paramètres!$B$21:$B$27)*(P15-Paramètres!$B$21:$B$27)*Paramètres!$E$21:$E$27)</f>
        <v>6270.3</v>
      </c>
      <c r="R15" s="11">
        <f>Q15*INDEX(Paramètres!$C$31:$C$38,MIN(MAX(INT(N(J15)),0),7)+1)</f>
        <v>0</v>
      </c>
      <c r="S15" s="14">
        <f t="shared" si="2"/>
        <v>6270</v>
      </c>
      <c r="T15" s="11">
        <f>ROUND(N($I15)*Paramètres!$C$13,0)</f>
        <v>4960</v>
      </c>
      <c r="U15" s="11">
        <f>ROUND(MAX(0,N($I15)-(Q15-R15)-M15)*Paramètres!$C$12,0)</f>
        <v>1500</v>
      </c>
      <c r="V15" s="14">
        <f t="shared" si="3"/>
        <v>148476</v>
      </c>
    </row>
    <row r="16" spans="2:22" ht="17.25" customHeight="1" x14ac:dyDescent="0.35">
      <c r="B16" s="7">
        <v>10</v>
      </c>
      <c r="C16" s="8" t="s">
        <v>35</v>
      </c>
      <c r="D16" s="9">
        <v>45778</v>
      </c>
      <c r="E16" s="33">
        <f t="shared" si="0"/>
        <v>149495</v>
      </c>
      <c r="F16" s="36">
        <f>MIN(ROUNDDOWN(N($I16)*Paramètres!$C$16,0),Paramètres!$D$16)</f>
        <v>42712</v>
      </c>
      <c r="G16" s="36">
        <f>MIN(ROUNDDOWN(N($I16)*Paramètres!$C$17,0),Paramètres!$D$17)</f>
        <v>10678</v>
      </c>
      <c r="H16" s="36">
        <f>MIN(ROUNDDOWN(N($I16)*Paramètres!$C$18,0),Paramètres!$D$18)</f>
        <v>10678</v>
      </c>
      <c r="I16" s="35">
        <v>213563</v>
      </c>
      <c r="J16" s="12">
        <v>0</v>
      </c>
      <c r="K16" s="13" t="str">
        <f>IF(E16&lt;Paramètres!$C$11,"Cadre inférieur","Cadre supérieur")</f>
        <v>Cadre inférieur</v>
      </c>
      <c r="L16" s="11">
        <f>MIN(F16,MIN(N($I16)*Paramètres!$C$16,Paramètres!$D$16))+MIN(G16,MIN(N($I16)*Paramètres!$C$17,Paramètres!$D$17))+MIN(H16,MIN(N($I16)*Paramètres!$C$18,Paramètres!$D$18))</f>
        <v>64068</v>
      </c>
      <c r="M16" s="11">
        <f>MIN(N($I16),Paramètres!$C$7)*Paramètres!$C$6</f>
        <v>11745.965</v>
      </c>
      <c r="N16" s="11">
        <f>MIN(M16,E16*Paramètres!$C$8)</f>
        <v>11745.965</v>
      </c>
      <c r="O16" s="11">
        <f>E16*IF(K16="Cadre supérieur",Paramètres!$C$10,Paramètres!$C$9)</f>
        <v>37373.75</v>
      </c>
      <c r="P16" s="11">
        <f t="shared" si="1"/>
        <v>100300</v>
      </c>
      <c r="Q16" s="11">
        <f>SUMPRODUCT((P16&gt;Paramètres!$B$21:$B$27)*(P16-Paramètres!$B$21:$B$27)*Paramètres!$E$21:$E$27)</f>
        <v>9777.1</v>
      </c>
      <c r="R16" s="11">
        <f>Q16*INDEX(Paramètres!$C$31:$C$38,MIN(MAX(INT(N(J16)),0),7)+1)</f>
        <v>0</v>
      </c>
      <c r="S16" s="14">
        <f t="shared" si="2"/>
        <v>9777</v>
      </c>
      <c r="T16" s="11">
        <f>ROUND(N($I16)*Paramètres!$C$13,0)</f>
        <v>6407</v>
      </c>
      <c r="U16" s="11">
        <f>ROUND(MAX(0,N($I16)-(Q16-R16)-M16)*Paramètres!$C$12,0)</f>
        <v>1920</v>
      </c>
      <c r="V16" s="14">
        <f t="shared" si="3"/>
        <v>190120</v>
      </c>
    </row>
    <row r="17" spans="2:22" ht="17.25" customHeight="1" x14ac:dyDescent="0.35">
      <c r="B17" s="7">
        <v>11</v>
      </c>
      <c r="C17" s="8" t="s">
        <v>36</v>
      </c>
      <c r="D17" s="9">
        <v>45778</v>
      </c>
      <c r="E17" s="33">
        <f t="shared" si="0"/>
        <v>149495</v>
      </c>
      <c r="F17" s="36">
        <f>MIN(ROUNDDOWN(N($I17)*Paramètres!$C$16,0),Paramètres!$D$16)</f>
        <v>42712</v>
      </c>
      <c r="G17" s="36">
        <f>MIN(ROUNDDOWN(N($I17)*Paramètres!$C$17,0),Paramètres!$D$17)</f>
        <v>10678</v>
      </c>
      <c r="H17" s="36">
        <f>MIN(ROUNDDOWN(N($I17)*Paramètres!$C$18,0),Paramètres!$D$18)</f>
        <v>10678</v>
      </c>
      <c r="I17" s="35">
        <v>213563</v>
      </c>
      <c r="J17" s="12">
        <v>0</v>
      </c>
      <c r="K17" s="13" t="str">
        <f>IF(E17&lt;Paramètres!$C$11,"Cadre inférieur","Cadre supérieur")</f>
        <v>Cadre inférieur</v>
      </c>
      <c r="L17" s="11">
        <f>MIN(F17,MIN(N($I17)*Paramètres!$C$16,Paramètres!$D$16))+MIN(G17,MIN(N($I17)*Paramètres!$C$17,Paramètres!$D$17))+MIN(H17,MIN(N($I17)*Paramètres!$C$18,Paramètres!$D$18))</f>
        <v>64068</v>
      </c>
      <c r="M17" s="11">
        <f>MIN(N($I17),Paramètres!$C$7)*Paramètres!$C$6</f>
        <v>11745.965</v>
      </c>
      <c r="N17" s="11">
        <f>MIN(M17,E17*Paramètres!$C$8)</f>
        <v>11745.965</v>
      </c>
      <c r="O17" s="11">
        <f>E17*IF(K17="Cadre supérieur",Paramètres!$C$10,Paramètres!$C$9)</f>
        <v>37373.75</v>
      </c>
      <c r="P17" s="11">
        <f t="shared" si="1"/>
        <v>100300</v>
      </c>
      <c r="Q17" s="11">
        <f>SUMPRODUCT((P17&gt;Paramètres!$B$21:$B$27)*(P17-Paramètres!$B$21:$B$27)*Paramètres!$E$21:$E$27)</f>
        <v>9777.1</v>
      </c>
      <c r="R17" s="11">
        <f>Q17*INDEX(Paramètres!$C$31:$C$38,MIN(MAX(INT(N(J17)),0),7)+1)</f>
        <v>0</v>
      </c>
      <c r="S17" s="14">
        <f t="shared" si="2"/>
        <v>9777</v>
      </c>
      <c r="T17" s="11">
        <f>ROUND(N($I17)*Paramètres!$C$13,0)</f>
        <v>6407</v>
      </c>
      <c r="U17" s="11">
        <f>ROUND(MAX(0,N($I17)-(Q17-R17)-M17)*Paramètres!$C$12,0)</f>
        <v>1920</v>
      </c>
      <c r="V17" s="14">
        <f t="shared" si="3"/>
        <v>190120</v>
      </c>
    </row>
    <row r="18" spans="2:22" ht="17.25" customHeight="1" x14ac:dyDescent="0.35">
      <c r="B18" s="7">
        <v>12</v>
      </c>
      <c r="C18" s="8" t="s">
        <v>37</v>
      </c>
      <c r="D18" s="9">
        <v>46183</v>
      </c>
      <c r="E18" s="33">
        <f t="shared" si="0"/>
        <v>124172</v>
      </c>
      <c r="F18" s="36">
        <f>MIN(ROUNDDOWN(N($I18)*Paramètres!$C$16,0),Paramètres!$D$16)</f>
        <v>35477</v>
      </c>
      <c r="G18" s="36">
        <f>MIN(ROUNDDOWN(N($I18)*Paramètres!$C$17,0),Paramètres!$D$17)</f>
        <v>8869</v>
      </c>
      <c r="H18" s="36">
        <f>MIN(ROUNDDOWN(N($I18)*Paramètres!$C$18,0),Paramètres!$D$18)</f>
        <v>8869</v>
      </c>
      <c r="I18" s="35">
        <v>177387</v>
      </c>
      <c r="J18" s="12">
        <v>0</v>
      </c>
      <c r="K18" s="13" t="str">
        <f>IF(E18&lt;Paramètres!$C$11,"Cadre inférieur","Cadre supérieur")</f>
        <v>Cadre inférieur</v>
      </c>
      <c r="L18" s="11">
        <f>MIN(F18,MIN(N($I18)*Paramètres!$C$16,Paramètres!$D$16))+MIN(G18,MIN(N($I18)*Paramètres!$C$17,Paramètres!$D$17))+MIN(H18,MIN(N($I18)*Paramètres!$C$18,Paramètres!$D$18))</f>
        <v>53215</v>
      </c>
      <c r="M18" s="11">
        <f>MIN(N($I18),Paramètres!$C$7)*Paramètres!$C$6</f>
        <v>9756.2849999999999</v>
      </c>
      <c r="N18" s="11">
        <f>MIN(M18,E18*Paramètres!$C$8)</f>
        <v>9756.2849999999999</v>
      </c>
      <c r="O18" s="11">
        <f>E18*IF(K18="Cadre supérieur",Paramètres!$C$10,Paramètres!$C$9)</f>
        <v>31043</v>
      </c>
      <c r="P18" s="11">
        <f t="shared" si="1"/>
        <v>83300</v>
      </c>
      <c r="Q18" s="11">
        <f>SUMPRODUCT((P18&gt;Paramètres!$B$21:$B$27)*(P18-Paramètres!$B$21:$B$27)*Paramètres!$E$21:$E$27)</f>
        <v>7108.1</v>
      </c>
      <c r="R18" s="11">
        <f>Q18*INDEX(Paramètres!$C$31:$C$38,MIN(MAX(INT(N(J18)),0),7)+1)</f>
        <v>0</v>
      </c>
      <c r="S18" s="14">
        <f t="shared" si="2"/>
        <v>7108</v>
      </c>
      <c r="T18" s="11">
        <f>ROUND(N($I18)*Paramètres!$C$13,0)</f>
        <v>5322</v>
      </c>
      <c r="U18" s="11">
        <f>ROUND(MAX(0,N($I18)-(Q18-R18)-M18)*Paramètres!$C$12,0)</f>
        <v>1605</v>
      </c>
      <c r="V18" s="14">
        <f t="shared" si="3"/>
        <v>158918</v>
      </c>
    </row>
    <row r="19" spans="2:22" ht="17.25" customHeight="1" x14ac:dyDescent="0.35">
      <c r="B19" s="7">
        <v>14</v>
      </c>
      <c r="C19" s="8" t="s">
        <v>39</v>
      </c>
      <c r="D19" s="9">
        <v>45950</v>
      </c>
      <c r="E19" s="33">
        <f t="shared" si="0"/>
        <v>124172</v>
      </c>
      <c r="F19" s="36">
        <f>MIN(ROUNDDOWN(N($I19)*Paramètres!$C$16,0),Paramètres!$D$16)</f>
        <v>35477</v>
      </c>
      <c r="G19" s="36">
        <f>MIN(ROUNDDOWN(N($I19)*Paramètres!$C$17,0),Paramètres!$D$17)</f>
        <v>8869</v>
      </c>
      <c r="H19" s="36">
        <f>MIN(ROUNDDOWN(N($I19)*Paramètres!$C$18,0),Paramètres!$D$18)</f>
        <v>8869</v>
      </c>
      <c r="I19" s="35">
        <v>177387</v>
      </c>
      <c r="J19" s="12">
        <v>0</v>
      </c>
      <c r="K19" s="13" t="str">
        <f>IF(E19&lt;Paramètres!$C$11,"Cadre inférieur","Cadre supérieur")</f>
        <v>Cadre inférieur</v>
      </c>
      <c r="L19" s="11">
        <f>MIN(F19,MIN(N($I19)*Paramètres!$C$16,Paramètres!$D$16))+MIN(G19,MIN(N($I19)*Paramètres!$C$17,Paramètres!$D$17))+MIN(H19,MIN(N($I19)*Paramètres!$C$18,Paramètres!$D$18))</f>
        <v>53215</v>
      </c>
      <c r="M19" s="11">
        <f>MIN(N($I19),Paramètres!$C$7)*Paramètres!$C$6</f>
        <v>9756.2849999999999</v>
      </c>
      <c r="N19" s="11">
        <f>MIN(M19,E19*Paramètres!$C$8)</f>
        <v>9756.2849999999999</v>
      </c>
      <c r="O19" s="11">
        <f>E19*IF(K19="Cadre supérieur",Paramètres!$C$10,Paramètres!$C$9)</f>
        <v>31043</v>
      </c>
      <c r="P19" s="11">
        <f t="shared" si="1"/>
        <v>83300</v>
      </c>
      <c r="Q19" s="11">
        <f>SUMPRODUCT((P19&gt;Paramètres!$B$21:$B$27)*(P19-Paramètres!$B$21:$B$27)*Paramètres!$E$21:$E$27)</f>
        <v>7108.1</v>
      </c>
      <c r="R19" s="11">
        <f>Q19*INDEX(Paramètres!$C$31:$C$38,MIN(MAX(INT(N(J19)),0),7)+1)</f>
        <v>0</v>
      </c>
      <c r="S19" s="14">
        <f t="shared" si="2"/>
        <v>7108</v>
      </c>
      <c r="T19" s="11">
        <f>ROUND(N($I19)*Paramètres!$C$13,0)</f>
        <v>5322</v>
      </c>
      <c r="U19" s="11">
        <f>ROUND(MAX(0,N($I19)-(Q19-R19)-M19)*Paramètres!$C$12,0)</f>
        <v>1605</v>
      </c>
      <c r="V19" s="14">
        <f t="shared" si="3"/>
        <v>158918</v>
      </c>
    </row>
    <row r="20" spans="2:22" ht="17.25" customHeight="1" x14ac:dyDescent="0.35">
      <c r="B20" s="7">
        <v>15</v>
      </c>
      <c r="C20" s="8" t="s">
        <v>40</v>
      </c>
      <c r="D20" s="9">
        <v>46183</v>
      </c>
      <c r="E20" s="33">
        <f t="shared" si="0"/>
        <v>124172</v>
      </c>
      <c r="F20" s="36">
        <f>MIN(ROUNDDOWN(N($I20)*Paramètres!$C$16,0),Paramètres!$D$16)</f>
        <v>35477</v>
      </c>
      <c r="G20" s="36">
        <f>MIN(ROUNDDOWN(N($I20)*Paramètres!$C$17,0),Paramètres!$D$17)</f>
        <v>8869</v>
      </c>
      <c r="H20" s="36">
        <f>MIN(ROUNDDOWN(N($I20)*Paramètres!$C$18,0),Paramètres!$D$18)</f>
        <v>8869</v>
      </c>
      <c r="I20" s="35">
        <v>177387</v>
      </c>
      <c r="J20" s="12">
        <v>0</v>
      </c>
      <c r="K20" s="13" t="str">
        <f>IF(E20&lt;Paramètres!$C$11,"Cadre inférieur","Cadre supérieur")</f>
        <v>Cadre inférieur</v>
      </c>
      <c r="L20" s="11">
        <f>MIN(F20,MIN(N($I20)*Paramètres!$C$16,Paramètres!$D$16))+MIN(G20,MIN(N($I20)*Paramètres!$C$17,Paramètres!$D$17))+MIN(H20,MIN(N($I20)*Paramètres!$C$18,Paramètres!$D$18))</f>
        <v>53215</v>
      </c>
      <c r="M20" s="11">
        <f>MIN(N($I20),Paramètres!$C$7)*Paramètres!$C$6</f>
        <v>9756.2849999999999</v>
      </c>
      <c r="N20" s="11">
        <f>MIN(M20,E20*Paramètres!$C$8)</f>
        <v>9756.2849999999999</v>
      </c>
      <c r="O20" s="11">
        <f>E20*IF(K20="Cadre supérieur",Paramètres!$C$10,Paramètres!$C$9)</f>
        <v>31043</v>
      </c>
      <c r="P20" s="11">
        <f t="shared" si="1"/>
        <v>83300</v>
      </c>
      <c r="Q20" s="11">
        <f>SUMPRODUCT((P20&gt;Paramètres!$B$21:$B$27)*(P20-Paramètres!$B$21:$B$27)*Paramètres!$E$21:$E$27)</f>
        <v>7108.1</v>
      </c>
      <c r="R20" s="11">
        <f>Q20*INDEX(Paramètres!$C$31:$C$38,MIN(MAX(INT(N(J20)),0),7)+1)</f>
        <v>0</v>
      </c>
      <c r="S20" s="14">
        <f t="shared" si="2"/>
        <v>7108</v>
      </c>
      <c r="T20" s="11">
        <f>ROUND(N($I20)*Paramètres!$C$13,0)</f>
        <v>5322</v>
      </c>
      <c r="U20" s="11">
        <f>ROUND(MAX(0,N($I20)-(Q20-R20)-M20)*Paramètres!$C$12,0)</f>
        <v>1605</v>
      </c>
      <c r="V20" s="14">
        <f t="shared" si="3"/>
        <v>158918</v>
      </c>
    </row>
    <row r="21" spans="2:22" ht="17.25" customHeight="1" x14ac:dyDescent="0.35">
      <c r="B21" s="7">
        <v>16</v>
      </c>
      <c r="C21" s="8" t="s">
        <v>41</v>
      </c>
      <c r="D21" s="9">
        <v>46139</v>
      </c>
      <c r="E21" s="33">
        <f t="shared" si="0"/>
        <v>95189</v>
      </c>
      <c r="F21" s="36">
        <f>MIN(ROUNDDOWN(N($I21)*Paramètres!$C$16,0),Paramètres!$D$16)</f>
        <v>27196</v>
      </c>
      <c r="G21" s="36">
        <f>MIN(ROUNDDOWN(N($I21)*Paramètres!$C$17,0),Paramètres!$D$17)</f>
        <v>6799</v>
      </c>
      <c r="H21" s="36">
        <f>MIN(ROUNDDOWN(N($I21)*Paramètres!$C$18,0),Paramètres!$D$18)</f>
        <v>6799</v>
      </c>
      <c r="I21" s="35">
        <v>135983</v>
      </c>
      <c r="J21" s="12">
        <v>0</v>
      </c>
      <c r="K21" s="13" t="str">
        <f>IF(E21&lt;Paramètres!$C$11,"Cadre inférieur","Cadre supérieur")</f>
        <v>Cadre inférieur</v>
      </c>
      <c r="L21" s="11">
        <f>MIN(F21,MIN(N($I21)*Paramètres!$C$16,Paramètres!$D$16))+MIN(G21,MIN(N($I21)*Paramètres!$C$17,Paramètres!$D$17))+MIN(H21,MIN(N($I21)*Paramètres!$C$18,Paramètres!$D$18))</f>
        <v>40794</v>
      </c>
      <c r="M21" s="11">
        <f>MIN(N($I21),Paramètres!$C$7)*Paramètres!$C$6</f>
        <v>7479.0649999999996</v>
      </c>
      <c r="N21" s="11">
        <f>MIN(M21,E21*Paramètres!$C$8)</f>
        <v>7479.0649999999996</v>
      </c>
      <c r="O21" s="11">
        <f>E21*IF(K21="Cadre supérieur",Paramètres!$C$10,Paramètres!$C$9)</f>
        <v>23797.25</v>
      </c>
      <c r="P21" s="11">
        <f t="shared" si="1"/>
        <v>63900</v>
      </c>
      <c r="Q21" s="11">
        <f>SUMPRODUCT((P21&gt;Paramètres!$B$21:$B$27)*(P21-Paramètres!$B$21:$B$27)*Paramètres!$E$21:$E$27)</f>
        <v>4352.0999999999995</v>
      </c>
      <c r="R21" s="11">
        <f>Q21*INDEX(Paramètres!$C$31:$C$38,MIN(MAX(INT(N(J21)),0),7)+1)</f>
        <v>0</v>
      </c>
      <c r="S21" s="14">
        <f t="shared" si="2"/>
        <v>4352</v>
      </c>
      <c r="T21" s="11">
        <f>ROUND(N($I21)*Paramètres!$C$13,0)</f>
        <v>4079</v>
      </c>
      <c r="U21" s="11">
        <f>ROUND(MAX(0,N($I21)-(Q21-R21)-M21)*Paramètres!$C$12,0)</f>
        <v>1242</v>
      </c>
      <c r="V21" s="14">
        <f t="shared" si="3"/>
        <v>122910</v>
      </c>
    </row>
    <row r="22" spans="2:22" s="16" customFormat="1" ht="17.25" customHeight="1" x14ac:dyDescent="0.35">
      <c r="B22" s="7">
        <v>17</v>
      </c>
      <c r="C22" s="8" t="s">
        <v>42</v>
      </c>
      <c r="D22" s="9">
        <v>45809</v>
      </c>
      <c r="E22" s="33">
        <f t="shared" si="0"/>
        <v>95189</v>
      </c>
      <c r="F22" s="36">
        <f>MIN(ROUNDDOWN(N($I22)*Paramètres!$C$16,0),Paramètres!$D$16)</f>
        <v>27196</v>
      </c>
      <c r="G22" s="36">
        <f>MIN(ROUNDDOWN(N($I22)*Paramètres!$C$17,0),Paramètres!$D$17)</f>
        <v>6799</v>
      </c>
      <c r="H22" s="36">
        <f>MIN(ROUNDDOWN(N($I22)*Paramètres!$C$18,0),Paramètres!$D$18)</f>
        <v>6799</v>
      </c>
      <c r="I22" s="35">
        <v>135983</v>
      </c>
      <c r="J22" s="12">
        <v>0</v>
      </c>
      <c r="K22" s="13" t="str">
        <f>IF(E22&lt;Paramètres!$C$11,"Cadre inférieur","Cadre supérieur")</f>
        <v>Cadre inférieur</v>
      </c>
      <c r="L22" s="11">
        <f>MIN(F22,MIN(N($I22)*Paramètres!$C$16,Paramètres!$D$16))+MIN(G22,MIN(N($I22)*Paramètres!$C$17,Paramètres!$D$17))+MIN(H22,MIN(N($I22)*Paramètres!$C$18,Paramètres!$D$18))</f>
        <v>40794</v>
      </c>
      <c r="M22" s="11">
        <f>MIN(N($I22),Paramètres!$C$7)*Paramètres!$C$6</f>
        <v>7479.0649999999996</v>
      </c>
      <c r="N22" s="11">
        <f>MIN(M22,E22*Paramètres!$C$8)</f>
        <v>7479.0649999999996</v>
      </c>
      <c r="O22" s="11">
        <f>E22*IF(K22="Cadre supérieur",Paramètres!$C$10,Paramètres!$C$9)</f>
        <v>23797.25</v>
      </c>
      <c r="P22" s="11">
        <f t="shared" si="1"/>
        <v>63900</v>
      </c>
      <c r="Q22" s="11">
        <f>SUMPRODUCT((P22&gt;Paramètres!$B$21:$B$27)*(P22-Paramètres!$B$21:$B$27)*Paramètres!$E$21:$E$27)</f>
        <v>4352.0999999999995</v>
      </c>
      <c r="R22" s="11">
        <f>Q22*INDEX(Paramètres!$C$31:$C$38,MIN(MAX(INT(N(J22)),0),7)+1)</f>
        <v>0</v>
      </c>
      <c r="S22" s="14">
        <f t="shared" si="2"/>
        <v>4352</v>
      </c>
      <c r="T22" s="11">
        <f>ROUND(N($I22)*Paramètres!$C$13,0)</f>
        <v>4079</v>
      </c>
      <c r="U22" s="11">
        <f>ROUND(MAX(0,N($I22)-(Q22-R22)-M22)*Paramètres!$C$12,0)</f>
        <v>1242</v>
      </c>
      <c r="V22" s="14">
        <f t="shared" si="3"/>
        <v>122910</v>
      </c>
    </row>
    <row r="23" spans="2:22" s="15" customFormat="1" ht="17.25" customHeight="1" x14ac:dyDescent="0.35">
      <c r="B23" s="7">
        <v>18</v>
      </c>
      <c r="C23" s="8" t="s">
        <v>43</v>
      </c>
      <c r="D23" s="9">
        <v>46174</v>
      </c>
      <c r="E23" s="33">
        <f t="shared" si="0"/>
        <v>124172</v>
      </c>
      <c r="F23" s="36">
        <f>MIN(ROUNDDOWN(N($I23)*Paramètres!$C$16,0),Paramètres!$D$16)</f>
        <v>35477</v>
      </c>
      <c r="G23" s="36">
        <f>MIN(ROUNDDOWN(N($I23)*Paramètres!$C$17,0),Paramètres!$D$17)</f>
        <v>8869</v>
      </c>
      <c r="H23" s="36">
        <f>MIN(ROUNDDOWN(N($I23)*Paramètres!$C$18,0),Paramètres!$D$18)</f>
        <v>8869</v>
      </c>
      <c r="I23" s="35">
        <v>177387</v>
      </c>
      <c r="J23" s="12">
        <v>0</v>
      </c>
      <c r="K23" s="13" t="str">
        <f>IF(E23&lt;Paramètres!$C$11,"Cadre inférieur","Cadre supérieur")</f>
        <v>Cadre inférieur</v>
      </c>
      <c r="L23" s="11">
        <f>MIN(F23,MIN(N($I23)*Paramètres!$C$16,Paramètres!$D$16))+MIN(G23,MIN(N($I23)*Paramètres!$C$17,Paramètres!$D$17))+MIN(H23,MIN(N($I23)*Paramètres!$C$18,Paramètres!$D$18))</f>
        <v>53215</v>
      </c>
      <c r="M23" s="11">
        <f>MIN(N($I23),Paramètres!$C$7)*Paramètres!$C$6</f>
        <v>9756.2849999999999</v>
      </c>
      <c r="N23" s="11">
        <f>MIN(M23,E23*Paramètres!$C$8)</f>
        <v>9756.2849999999999</v>
      </c>
      <c r="O23" s="11">
        <f>E23*IF(K23="Cadre supérieur",Paramètres!$C$10,Paramètres!$C$9)</f>
        <v>31043</v>
      </c>
      <c r="P23" s="11">
        <f t="shared" si="1"/>
        <v>83300</v>
      </c>
      <c r="Q23" s="11">
        <f>SUMPRODUCT((P23&gt;Paramètres!$B$21:$B$27)*(P23-Paramètres!$B$21:$B$27)*Paramètres!$E$21:$E$27)</f>
        <v>7108.1</v>
      </c>
      <c r="R23" s="11">
        <f>Q23*INDEX(Paramètres!$C$31:$C$38,MIN(MAX(INT(N(J23)),0),7)+1)</f>
        <v>0</v>
      </c>
      <c r="S23" s="14">
        <f t="shared" si="2"/>
        <v>7108</v>
      </c>
      <c r="T23" s="11">
        <f>ROUND(N($I23)*Paramètres!$C$13,0)</f>
        <v>5322</v>
      </c>
      <c r="U23" s="11">
        <f>ROUND(MAX(0,N($I23)-(Q23-R23)-M23)*Paramètres!$C$12,0)</f>
        <v>1605</v>
      </c>
      <c r="V23" s="14">
        <f t="shared" si="3"/>
        <v>158918</v>
      </c>
    </row>
    <row r="24" spans="2:22" ht="17.25" customHeight="1" x14ac:dyDescent="0.35">
      <c r="B24" s="7">
        <v>20</v>
      </c>
      <c r="C24" s="8" t="s">
        <v>45</v>
      </c>
      <c r="D24" s="9">
        <v>46216</v>
      </c>
      <c r="E24" s="33">
        <f t="shared" si="0"/>
        <v>158047</v>
      </c>
      <c r="F24" s="36">
        <f>MIN(ROUNDDOWN(N($I24)*Paramètres!$C$16,0),Paramètres!$D$16)</f>
        <v>45155</v>
      </c>
      <c r="G24" s="36">
        <f>MIN(ROUNDDOWN(N($I24)*Paramètres!$C$17,0),Paramètres!$D$17)</f>
        <v>11288</v>
      </c>
      <c r="H24" s="36">
        <f>MIN(ROUNDDOWN(N($I24)*Paramètres!$C$18,0),Paramètres!$D$18)</f>
        <v>11288</v>
      </c>
      <c r="I24" s="35">
        <v>225778</v>
      </c>
      <c r="J24" s="12">
        <v>0</v>
      </c>
      <c r="K24" s="13" t="str">
        <f>IF(E24&lt;Paramètres!$C$11,"Cadre inférieur","Cadre supérieur")</f>
        <v>Cadre supérieur</v>
      </c>
      <c r="L24" s="11">
        <f>MIN(F24,MIN(N($I24)*Paramètres!$C$16,Paramètres!$D$16))+MIN(G24,MIN(N($I24)*Paramètres!$C$17,Paramètres!$D$17))+MIN(H24,MIN(N($I24)*Paramètres!$C$18,Paramètres!$D$18))</f>
        <v>67731</v>
      </c>
      <c r="M24" s="11">
        <f>MIN(N($I24),Paramètres!$C$7)*Paramètres!$C$6</f>
        <v>12417.79</v>
      </c>
      <c r="N24" s="11">
        <f>MIN(M24,E24*Paramètres!$C$8)</f>
        <v>12417.79</v>
      </c>
      <c r="O24" s="11">
        <f>E24*IF(K24="Cadre supérieur",Paramètres!$C$10,Paramètres!$C$9)</f>
        <v>31609.4</v>
      </c>
      <c r="P24" s="11">
        <f t="shared" si="1"/>
        <v>114000</v>
      </c>
      <c r="Q24" s="11">
        <f>SUMPRODUCT((P24&gt;Paramètres!$B$21:$B$27)*(P24-Paramètres!$B$21:$B$27)*Paramètres!$E$21:$E$27)</f>
        <v>11928</v>
      </c>
      <c r="R24" s="11">
        <f>Q24*INDEX(Paramètres!$C$31:$C$38,MIN(MAX(INT(N(J24)),0),7)+1)</f>
        <v>0</v>
      </c>
      <c r="S24" s="14">
        <f t="shared" si="2"/>
        <v>11928</v>
      </c>
      <c r="T24" s="11">
        <f>ROUND(N($I24)*Paramètres!$C$13,0)</f>
        <v>6773</v>
      </c>
      <c r="U24" s="11">
        <f>ROUND(MAX(0,N($I24)-(Q24-R24)-M24)*Paramètres!$C$12,0)</f>
        <v>2014</v>
      </c>
      <c r="V24" s="14">
        <f t="shared" si="3"/>
        <v>199418</v>
      </c>
    </row>
    <row r="25" spans="2:22" ht="17.25" customHeight="1" x14ac:dyDescent="0.35">
      <c r="B25" s="7">
        <v>21</v>
      </c>
      <c r="C25" s="8" t="s">
        <v>46</v>
      </c>
      <c r="D25" s="9">
        <v>46000</v>
      </c>
      <c r="E25" s="33">
        <f t="shared" si="0"/>
        <v>124172</v>
      </c>
      <c r="F25" s="36">
        <f>MIN(ROUNDDOWN(N($I25)*Paramètres!$C$16,0),Paramètres!$D$16)</f>
        <v>35477</v>
      </c>
      <c r="G25" s="36">
        <f>MIN(ROUNDDOWN(N($I25)*Paramètres!$C$17,0),Paramètres!$D$17)</f>
        <v>8869</v>
      </c>
      <c r="H25" s="36">
        <f>MIN(ROUNDDOWN(N($I25)*Paramètres!$C$18,0),Paramètres!$D$18)</f>
        <v>8869</v>
      </c>
      <c r="I25" s="35">
        <v>177387</v>
      </c>
      <c r="J25" s="12">
        <v>0</v>
      </c>
      <c r="K25" s="13" t="str">
        <f>IF(E25&lt;Paramètres!$C$11,"Cadre inférieur","Cadre supérieur")</f>
        <v>Cadre inférieur</v>
      </c>
      <c r="L25" s="11">
        <f>MIN(F25,MIN(N($I25)*Paramètres!$C$16,Paramètres!$D$16))+MIN(G25,MIN(N($I25)*Paramètres!$C$17,Paramètres!$D$17))+MIN(H25,MIN(N($I25)*Paramètres!$C$18,Paramètres!$D$18))</f>
        <v>53215</v>
      </c>
      <c r="M25" s="11">
        <f>MIN(N($I25),Paramètres!$C$7)*Paramètres!$C$6</f>
        <v>9756.2849999999999</v>
      </c>
      <c r="N25" s="11">
        <f>MIN(M25,E25*Paramètres!$C$8)</f>
        <v>9756.2849999999999</v>
      </c>
      <c r="O25" s="11">
        <f>E25*IF(K25="Cadre supérieur",Paramètres!$C$10,Paramètres!$C$9)</f>
        <v>31043</v>
      </c>
      <c r="P25" s="11">
        <f t="shared" si="1"/>
        <v>83300</v>
      </c>
      <c r="Q25" s="11">
        <f>SUMPRODUCT((P25&gt;Paramètres!$B$21:$B$27)*(P25-Paramètres!$B$21:$B$27)*Paramètres!$E$21:$E$27)</f>
        <v>7108.1</v>
      </c>
      <c r="R25" s="11">
        <f>Q25*INDEX(Paramètres!$C$31:$C$38,MIN(MAX(INT(N(J25)),0),7)+1)</f>
        <v>0</v>
      </c>
      <c r="S25" s="14">
        <f t="shared" si="2"/>
        <v>7108</v>
      </c>
      <c r="T25" s="11">
        <f>ROUND(N($I25)*Paramètres!$C$13,0)</f>
        <v>5322</v>
      </c>
      <c r="U25" s="11">
        <f>ROUND(MAX(0,N($I25)-(Q25-R25)-M25)*Paramètres!$C$12,0)</f>
        <v>1605</v>
      </c>
      <c r="V25" s="14">
        <f t="shared" si="3"/>
        <v>158918</v>
      </c>
    </row>
    <row r="26" spans="2:22" ht="17.25" customHeight="1" x14ac:dyDescent="0.35">
      <c r="B26" s="7">
        <v>23</v>
      </c>
      <c r="C26" s="8" t="s">
        <v>48</v>
      </c>
      <c r="D26" s="9">
        <v>46204</v>
      </c>
      <c r="E26" s="33">
        <f t="shared" si="0"/>
        <v>162341</v>
      </c>
      <c r="F26" s="36">
        <f>MIN(ROUNDDOWN(N($I26)*Paramètres!$C$16,0),Paramètres!$D$16)</f>
        <v>46382</v>
      </c>
      <c r="G26" s="36">
        <f>MIN(ROUNDDOWN(N($I26)*Paramètres!$C$17,0),Paramètres!$D$17)</f>
        <v>11595</v>
      </c>
      <c r="H26" s="36">
        <f>MIN(ROUNDDOWN(N($I26)*Paramètres!$C$18,0),Paramètres!$D$18)</f>
        <v>11595</v>
      </c>
      <c r="I26" s="35">
        <v>231913</v>
      </c>
      <c r="J26" s="12">
        <v>0</v>
      </c>
      <c r="K26" s="13" t="str">
        <f>IF(E26&lt;Paramètres!$C$11,"Cadre inférieur","Cadre supérieur")</f>
        <v>Cadre supérieur</v>
      </c>
      <c r="L26" s="11">
        <f>MIN(F26,MIN(N($I26)*Paramètres!$C$16,Paramètres!$D$16))+MIN(G26,MIN(N($I26)*Paramètres!$C$17,Paramètres!$D$17))+MIN(H26,MIN(N($I26)*Paramètres!$C$18,Paramètres!$D$18))</f>
        <v>69572</v>
      </c>
      <c r="M26" s="11">
        <f>MIN(N($I26),Paramètres!$C$7)*Paramètres!$C$6</f>
        <v>12755.215</v>
      </c>
      <c r="N26" s="11">
        <f>MIN(M26,E26*Paramètres!$C$8)</f>
        <v>12755.215</v>
      </c>
      <c r="O26" s="11">
        <f>E26*IF(K26="Cadre supérieur",Paramètres!$C$10,Paramètres!$C$9)</f>
        <v>32468.2</v>
      </c>
      <c r="P26" s="11">
        <f t="shared" si="1"/>
        <v>117100</v>
      </c>
      <c r="Q26" s="11">
        <f>SUMPRODUCT((P26&gt;Paramètres!$B$21:$B$27)*(P26-Paramètres!$B$21:$B$27)*Paramètres!$E$21:$E$27)</f>
        <v>12414.7</v>
      </c>
      <c r="R26" s="11">
        <f>Q26*INDEX(Paramètres!$C$31:$C$38,MIN(MAX(INT(N(J26)),0),7)+1)</f>
        <v>0</v>
      </c>
      <c r="S26" s="14">
        <f t="shared" si="2"/>
        <v>12415</v>
      </c>
      <c r="T26" s="11">
        <f>ROUND(N($I26)*Paramètres!$C$13,0)</f>
        <v>6957</v>
      </c>
      <c r="U26" s="11">
        <f>ROUND(MAX(0,N($I26)-(Q26-R26)-M26)*Paramètres!$C$12,0)</f>
        <v>2067</v>
      </c>
      <c r="V26" s="14">
        <f t="shared" si="3"/>
        <v>204676</v>
      </c>
    </row>
    <row r="27" spans="2:22" ht="17.25" customHeight="1" x14ac:dyDescent="0.35">
      <c r="B27" s="7">
        <v>24</v>
      </c>
      <c r="C27" s="8" t="s">
        <v>49</v>
      </c>
      <c r="D27" s="18" t="s">
        <v>50</v>
      </c>
      <c r="E27" s="33">
        <f t="shared" si="0"/>
        <v>124172</v>
      </c>
      <c r="F27" s="36">
        <f>MIN(ROUNDDOWN(N($I27)*Paramètres!$C$16,0),Paramètres!$D$16)</f>
        <v>35477</v>
      </c>
      <c r="G27" s="36">
        <f>MIN(ROUNDDOWN(N($I27)*Paramètres!$C$17,0),Paramètres!$D$17)</f>
        <v>8869</v>
      </c>
      <c r="H27" s="36">
        <f>MIN(ROUNDDOWN(N($I27)*Paramètres!$C$18,0),Paramètres!$D$18)</f>
        <v>8869</v>
      </c>
      <c r="I27" s="35">
        <v>177387</v>
      </c>
      <c r="J27" s="12">
        <v>0</v>
      </c>
      <c r="K27" s="13" t="str">
        <f>IF(E27&lt;Paramètres!$C$11,"Cadre inférieur","Cadre supérieur")</f>
        <v>Cadre inférieur</v>
      </c>
      <c r="L27" s="11">
        <f>MIN(F27,MIN(N($I27)*Paramètres!$C$16,Paramètres!$D$16))+MIN(G27,MIN(N($I27)*Paramètres!$C$17,Paramètres!$D$17))+MIN(H27,MIN(N($I27)*Paramètres!$C$18,Paramètres!$D$18))</f>
        <v>53215</v>
      </c>
      <c r="M27" s="11">
        <f>MIN(N($I27),Paramètres!$C$7)*Paramètres!$C$6</f>
        <v>9756.2849999999999</v>
      </c>
      <c r="N27" s="11">
        <f>MIN(M27,E27*Paramètres!$C$8)</f>
        <v>9756.2849999999999</v>
      </c>
      <c r="O27" s="11">
        <f>E27*IF(K27="Cadre supérieur",Paramètres!$C$10,Paramètres!$C$9)</f>
        <v>31043</v>
      </c>
      <c r="P27" s="11">
        <f t="shared" si="1"/>
        <v>83300</v>
      </c>
      <c r="Q27" s="11">
        <f>SUMPRODUCT((P27&gt;Paramètres!$B$21:$B$27)*(P27-Paramètres!$B$21:$B$27)*Paramètres!$E$21:$E$27)</f>
        <v>7108.1</v>
      </c>
      <c r="R27" s="11">
        <f>Q27*INDEX(Paramètres!$C$31:$C$38,MIN(MAX(INT(N(J27)),0),7)+1)</f>
        <v>0</v>
      </c>
      <c r="S27" s="14">
        <f t="shared" si="2"/>
        <v>7108</v>
      </c>
      <c r="T27" s="11">
        <f>ROUND(N($I27)*Paramètres!$C$13,0)</f>
        <v>5322</v>
      </c>
      <c r="U27" s="11">
        <f>ROUND(MAX(0,N($I27)-(Q27-R27)-M27)*Paramètres!$C$12,0)</f>
        <v>1605</v>
      </c>
      <c r="V27" s="14">
        <f t="shared" si="3"/>
        <v>158918</v>
      </c>
    </row>
    <row r="28" spans="2:22" ht="17.25" customHeight="1" x14ac:dyDescent="0.35">
      <c r="B28" s="7">
        <v>25</v>
      </c>
      <c r="C28" s="8" t="s">
        <v>51</v>
      </c>
      <c r="D28" s="9">
        <v>45778</v>
      </c>
      <c r="E28" s="33">
        <f t="shared" si="0"/>
        <v>115738</v>
      </c>
      <c r="F28" s="36">
        <f>MIN(ROUNDDOWN(N($I28)*Paramètres!$C$16,0),Paramètres!$D$16)</f>
        <v>33068</v>
      </c>
      <c r="G28" s="36">
        <f>MIN(ROUNDDOWN(N($I28)*Paramètres!$C$17,0),Paramètres!$D$17)</f>
        <v>8267</v>
      </c>
      <c r="H28" s="36">
        <f>MIN(ROUNDDOWN(N($I28)*Paramètres!$C$18,0),Paramètres!$D$18)</f>
        <v>8267</v>
      </c>
      <c r="I28" s="35">
        <v>165340</v>
      </c>
      <c r="J28" s="12">
        <v>0</v>
      </c>
      <c r="K28" s="13" t="str">
        <f>IF(E28&lt;Paramètres!$C$11,"Cadre inférieur","Cadre supérieur")</f>
        <v>Cadre inférieur</v>
      </c>
      <c r="L28" s="11">
        <f>MIN(F28,MIN(N($I28)*Paramètres!$C$16,Paramètres!$D$16))+MIN(G28,MIN(N($I28)*Paramètres!$C$17,Paramètres!$D$17))+MIN(H28,MIN(N($I28)*Paramètres!$C$18,Paramètres!$D$18))</f>
        <v>49602</v>
      </c>
      <c r="M28" s="11">
        <f>MIN(N($I28),Paramètres!$C$7)*Paramètres!$C$6</f>
        <v>9093.7000000000007</v>
      </c>
      <c r="N28" s="11">
        <f>MIN(M28,E28*Paramètres!$C$8)</f>
        <v>9093.7000000000007</v>
      </c>
      <c r="O28" s="11">
        <f>E28*IF(K28="Cadre supérieur",Paramètres!$C$10,Paramètres!$C$9)</f>
        <v>28934.5</v>
      </c>
      <c r="P28" s="11">
        <f t="shared" si="1"/>
        <v>77700</v>
      </c>
      <c r="Q28" s="11">
        <f>SUMPRODUCT((P28&gt;Paramètres!$B$21:$B$27)*(P28-Paramètres!$B$21:$B$27)*Paramètres!$E$21:$E$27)</f>
        <v>6270.3</v>
      </c>
      <c r="R28" s="11">
        <f>Q28*INDEX(Paramètres!$C$31:$C$38,MIN(MAX(INT(N(J28)),0),7)+1)</f>
        <v>0</v>
      </c>
      <c r="S28" s="14">
        <f t="shared" si="2"/>
        <v>6270</v>
      </c>
      <c r="T28" s="11">
        <f>ROUND(N($I28)*Paramètres!$C$13,0)</f>
        <v>4960</v>
      </c>
      <c r="U28" s="11">
        <f>ROUND(MAX(0,N($I28)-(Q28-R28)-M28)*Paramètres!$C$12,0)</f>
        <v>1500</v>
      </c>
      <c r="V28" s="14">
        <f t="shared" si="3"/>
        <v>148476</v>
      </c>
    </row>
    <row r="29" spans="2:22" ht="17.25" customHeight="1" x14ac:dyDescent="0.35">
      <c r="B29" s="7">
        <v>26</v>
      </c>
      <c r="C29" s="8" t="s">
        <v>52</v>
      </c>
      <c r="D29" s="9">
        <v>46183</v>
      </c>
      <c r="E29" s="33">
        <f t="shared" si="0"/>
        <v>124172</v>
      </c>
      <c r="F29" s="36">
        <f>MIN(ROUNDDOWN(N($I29)*Paramètres!$C$16,0),Paramètres!$D$16)</f>
        <v>35477</v>
      </c>
      <c r="G29" s="36">
        <f>MIN(ROUNDDOWN(N($I29)*Paramètres!$C$17,0),Paramètres!$D$17)</f>
        <v>8869</v>
      </c>
      <c r="H29" s="36">
        <f>MIN(ROUNDDOWN(N($I29)*Paramètres!$C$18,0),Paramètres!$D$18)</f>
        <v>8869</v>
      </c>
      <c r="I29" s="35">
        <v>177387</v>
      </c>
      <c r="J29" s="12">
        <v>0</v>
      </c>
      <c r="K29" s="13" t="str">
        <f>IF(E29&lt;Paramètres!$C$11,"Cadre inférieur","Cadre supérieur")</f>
        <v>Cadre inférieur</v>
      </c>
      <c r="L29" s="11">
        <f>MIN(F29,MIN(N($I29)*Paramètres!$C$16,Paramètres!$D$16))+MIN(G29,MIN(N($I29)*Paramètres!$C$17,Paramètres!$D$17))+MIN(H29,MIN(N($I29)*Paramètres!$C$18,Paramètres!$D$18))</f>
        <v>53215</v>
      </c>
      <c r="M29" s="11">
        <f>MIN(N($I29),Paramètres!$C$7)*Paramètres!$C$6</f>
        <v>9756.2849999999999</v>
      </c>
      <c r="N29" s="11">
        <f>MIN(M29,E29*Paramètres!$C$8)</f>
        <v>9756.2849999999999</v>
      </c>
      <c r="O29" s="11">
        <f>E29*IF(K29="Cadre supérieur",Paramètres!$C$10,Paramètres!$C$9)</f>
        <v>31043</v>
      </c>
      <c r="P29" s="11">
        <f t="shared" si="1"/>
        <v>83300</v>
      </c>
      <c r="Q29" s="11">
        <f>SUMPRODUCT((P29&gt;Paramètres!$B$21:$B$27)*(P29-Paramètres!$B$21:$B$27)*Paramètres!$E$21:$E$27)</f>
        <v>7108.1</v>
      </c>
      <c r="R29" s="11">
        <f>Q29*INDEX(Paramètres!$C$31:$C$38,MIN(MAX(INT(N(J29)),0),7)+1)</f>
        <v>0</v>
      </c>
      <c r="S29" s="14">
        <f t="shared" si="2"/>
        <v>7108</v>
      </c>
      <c r="T29" s="11">
        <f>ROUND(N($I29)*Paramètres!$C$13,0)</f>
        <v>5322</v>
      </c>
      <c r="U29" s="11">
        <f>ROUND(MAX(0,N($I29)-(Q29-R29)-M29)*Paramètres!$C$12,0)</f>
        <v>1605</v>
      </c>
      <c r="V29" s="14">
        <f t="shared" si="3"/>
        <v>158918</v>
      </c>
    </row>
    <row r="30" spans="2:22" ht="17.25" customHeight="1" x14ac:dyDescent="0.35">
      <c r="B30" s="7">
        <v>27</v>
      </c>
      <c r="C30" s="8" t="s">
        <v>53</v>
      </c>
      <c r="D30" s="9"/>
      <c r="E30" s="33">
        <f t="shared" si="0"/>
        <v>242562</v>
      </c>
      <c r="F30" s="36">
        <f>MIN(ROUNDDOWN(N($I30)*Paramètres!$C$16,0),Paramètres!$D$16)</f>
        <v>69303</v>
      </c>
      <c r="G30" s="36">
        <f>MIN(ROUNDDOWN(N($I30)*Paramètres!$C$17,0),Paramètres!$D$17)</f>
        <v>17325</v>
      </c>
      <c r="H30" s="36">
        <f>MIN(ROUNDDOWN(N($I30)*Paramètres!$C$18,0),Paramètres!$D$18)</f>
        <v>17325</v>
      </c>
      <c r="I30" s="35">
        <v>346515</v>
      </c>
      <c r="J30" s="12">
        <v>0</v>
      </c>
      <c r="K30" s="13" t="str">
        <f>IF(E30&lt;Paramètres!$C$11,"Cadre inférieur","Cadre supérieur")</f>
        <v>Cadre supérieur</v>
      </c>
      <c r="L30" s="11">
        <f>MIN(F30,MIN(N($I30)*Paramètres!$C$16,Paramètres!$D$16))+MIN(G30,MIN(N($I30)*Paramètres!$C$17,Paramètres!$D$17))+MIN(H30,MIN(N($I30)*Paramètres!$C$18,Paramètres!$D$18))</f>
        <v>103953</v>
      </c>
      <c r="M30" s="11">
        <f>MIN(N($I30),Paramètres!$C$7)*Paramètres!$C$6</f>
        <v>19058.325000000001</v>
      </c>
      <c r="N30" s="11">
        <f>MIN(M30,E30*Paramètres!$C$8)</f>
        <v>19058.325000000001</v>
      </c>
      <c r="O30" s="11">
        <f>E30*IF(K30="Cadre supérieur",Paramètres!$C$10,Paramètres!$C$9)</f>
        <v>48512.4</v>
      </c>
      <c r="P30" s="11">
        <f t="shared" si="1"/>
        <v>174900</v>
      </c>
      <c r="Q30" s="11">
        <f>SUMPRODUCT((P30&gt;Paramètres!$B$21:$B$27)*(P30-Paramètres!$B$21:$B$27)*Paramètres!$E$21:$E$27)</f>
        <v>23133.299999999996</v>
      </c>
      <c r="R30" s="11">
        <f>Q30*INDEX(Paramètres!$C$31:$C$38,MIN(MAX(INT(N(J30)),0),7)+1)</f>
        <v>0</v>
      </c>
      <c r="S30" s="14">
        <f t="shared" si="2"/>
        <v>23133</v>
      </c>
      <c r="T30" s="11">
        <f>ROUND(N($I30)*Paramètres!$C$13,0)</f>
        <v>10395</v>
      </c>
      <c r="U30" s="11">
        <f>ROUND(MAX(0,N($I30)-(Q30-R30)-M30)*Paramètres!$C$12,0)</f>
        <v>3043</v>
      </c>
      <c r="V30" s="14">
        <f t="shared" si="3"/>
        <v>301281</v>
      </c>
    </row>
    <row r="31" spans="2:22" s="15" customFormat="1" ht="17.25" customHeight="1" x14ac:dyDescent="0.35">
      <c r="B31" s="7">
        <v>28</v>
      </c>
      <c r="C31" s="8" t="s">
        <v>54</v>
      </c>
      <c r="D31" s="9">
        <v>45965</v>
      </c>
      <c r="E31" s="33">
        <f t="shared" si="0"/>
        <v>115738</v>
      </c>
      <c r="F31" s="36">
        <f>MIN(ROUNDDOWN(N($I31)*Paramètres!$C$16,0),Paramètres!$D$16)</f>
        <v>33068</v>
      </c>
      <c r="G31" s="36">
        <f>MIN(ROUNDDOWN(N($I31)*Paramètres!$C$17,0),Paramètres!$D$17)</f>
        <v>8267</v>
      </c>
      <c r="H31" s="36">
        <f>MIN(ROUNDDOWN(N($I31)*Paramètres!$C$18,0),Paramètres!$D$18)</f>
        <v>8267</v>
      </c>
      <c r="I31" s="35">
        <v>165340</v>
      </c>
      <c r="J31" s="12">
        <v>0</v>
      </c>
      <c r="K31" s="13" t="str">
        <f>IF(E31&lt;Paramètres!$C$11,"Cadre inférieur","Cadre supérieur")</f>
        <v>Cadre inférieur</v>
      </c>
      <c r="L31" s="11">
        <f>MIN(F31,MIN(N($I31)*Paramètres!$C$16,Paramètres!$D$16))+MIN(G31,MIN(N($I31)*Paramètres!$C$17,Paramètres!$D$17))+MIN(H31,MIN(N($I31)*Paramètres!$C$18,Paramètres!$D$18))</f>
        <v>49602</v>
      </c>
      <c r="M31" s="11">
        <f>MIN(N($I31),Paramètres!$C$7)*Paramètres!$C$6</f>
        <v>9093.7000000000007</v>
      </c>
      <c r="N31" s="11">
        <f>MIN(M31,E31*Paramètres!$C$8)</f>
        <v>9093.7000000000007</v>
      </c>
      <c r="O31" s="11">
        <f>E31*IF(K31="Cadre supérieur",Paramètres!$C$10,Paramètres!$C$9)</f>
        <v>28934.5</v>
      </c>
      <c r="P31" s="11">
        <f t="shared" si="1"/>
        <v>77700</v>
      </c>
      <c r="Q31" s="11">
        <f>SUMPRODUCT((P31&gt;Paramètres!$B$21:$B$27)*(P31-Paramètres!$B$21:$B$27)*Paramètres!$E$21:$E$27)</f>
        <v>6270.3</v>
      </c>
      <c r="R31" s="11">
        <f>Q31*INDEX(Paramètres!$C$31:$C$38,MIN(MAX(INT(N(J31)),0),7)+1)</f>
        <v>0</v>
      </c>
      <c r="S31" s="14">
        <f t="shared" si="2"/>
        <v>6270</v>
      </c>
      <c r="T31" s="11">
        <f>ROUND(N($I31)*Paramètres!$C$13,0)</f>
        <v>4960</v>
      </c>
      <c r="U31" s="11">
        <f>ROUND(MAX(0,N($I31)-(Q31-R31)-M31)*Paramètres!$C$12,0)</f>
        <v>1500</v>
      </c>
      <c r="V31" s="14">
        <f t="shared" si="3"/>
        <v>148476</v>
      </c>
    </row>
    <row r="32" spans="2:22" ht="17.25" customHeight="1" x14ac:dyDescent="0.35">
      <c r="B32" s="7">
        <v>29</v>
      </c>
      <c r="C32" s="8" t="s">
        <v>55</v>
      </c>
      <c r="D32" s="9">
        <v>46092</v>
      </c>
      <c r="E32" s="33">
        <f t="shared" si="0"/>
        <v>158047</v>
      </c>
      <c r="F32" s="36">
        <f>MIN(ROUNDDOWN(N($I32)*Paramètres!$C$16,0),Paramètres!$D$16)</f>
        <v>45155</v>
      </c>
      <c r="G32" s="36">
        <f>MIN(ROUNDDOWN(N($I32)*Paramètres!$C$17,0),Paramètres!$D$17)</f>
        <v>11288</v>
      </c>
      <c r="H32" s="36">
        <f>MIN(ROUNDDOWN(N($I32)*Paramètres!$C$18,0),Paramètres!$D$18)</f>
        <v>11288</v>
      </c>
      <c r="I32" s="35">
        <v>225778</v>
      </c>
      <c r="J32" s="12">
        <v>0</v>
      </c>
      <c r="K32" s="13" t="str">
        <f>IF(E32&lt;Paramètres!$C$11,"Cadre inférieur","Cadre supérieur")</f>
        <v>Cadre supérieur</v>
      </c>
      <c r="L32" s="11">
        <f>MIN(F32,MIN(N($I32)*Paramètres!$C$16,Paramètres!$D$16))+MIN(G32,MIN(N($I32)*Paramètres!$C$17,Paramètres!$D$17))+MIN(H32,MIN(N($I32)*Paramètres!$C$18,Paramètres!$D$18))</f>
        <v>67731</v>
      </c>
      <c r="M32" s="11">
        <f>MIN(N($I32),Paramètres!$C$7)*Paramètres!$C$6</f>
        <v>12417.79</v>
      </c>
      <c r="N32" s="11">
        <f>MIN(M32,E32*Paramètres!$C$8)</f>
        <v>12417.79</v>
      </c>
      <c r="O32" s="11">
        <f>E32*IF(K32="Cadre supérieur",Paramètres!$C$10,Paramètres!$C$9)</f>
        <v>31609.4</v>
      </c>
      <c r="P32" s="11">
        <f t="shared" si="1"/>
        <v>114000</v>
      </c>
      <c r="Q32" s="11">
        <f>SUMPRODUCT((P32&gt;Paramètres!$B$21:$B$27)*(P32-Paramètres!$B$21:$B$27)*Paramètres!$E$21:$E$27)</f>
        <v>11928</v>
      </c>
      <c r="R32" s="11">
        <f>Q32*INDEX(Paramètres!$C$31:$C$38,MIN(MAX(INT(N(J32)),0),7)+1)</f>
        <v>0</v>
      </c>
      <c r="S32" s="14">
        <f t="shared" si="2"/>
        <v>11928</v>
      </c>
      <c r="T32" s="11">
        <f>ROUND(N($I32)*Paramètres!$C$13,0)</f>
        <v>6773</v>
      </c>
      <c r="U32" s="11">
        <f>ROUND(MAX(0,N($I32)-(Q32-R32)-M32)*Paramètres!$C$12,0)</f>
        <v>2014</v>
      </c>
      <c r="V32" s="14">
        <f t="shared" si="3"/>
        <v>199418</v>
      </c>
    </row>
    <row r="33" spans="2:22" ht="17.25" customHeight="1" x14ac:dyDescent="0.35">
      <c r="B33" s="7">
        <v>32</v>
      </c>
      <c r="C33" s="8" t="s">
        <v>58</v>
      </c>
      <c r="D33" s="9">
        <v>46216</v>
      </c>
      <c r="E33" s="33">
        <f t="shared" si="0"/>
        <v>158047</v>
      </c>
      <c r="F33" s="36">
        <f>MIN(ROUNDDOWN(N($I33)*Paramètres!$C$16,0),Paramètres!$D$16)</f>
        <v>45155</v>
      </c>
      <c r="G33" s="36">
        <f>MIN(ROUNDDOWN(N($I33)*Paramètres!$C$17,0),Paramètres!$D$17)</f>
        <v>11288</v>
      </c>
      <c r="H33" s="36">
        <f>MIN(ROUNDDOWN(N($I33)*Paramètres!$C$18,0),Paramètres!$D$18)</f>
        <v>11288</v>
      </c>
      <c r="I33" s="35">
        <v>225778</v>
      </c>
      <c r="J33" s="12">
        <v>0</v>
      </c>
      <c r="K33" s="13" t="str">
        <f>IF(E33&lt;Paramètres!$C$11,"Cadre inférieur","Cadre supérieur")</f>
        <v>Cadre supérieur</v>
      </c>
      <c r="L33" s="11">
        <f>MIN(F33,MIN(N($I33)*Paramètres!$C$16,Paramètres!$D$16))+MIN(G33,MIN(N($I33)*Paramètres!$C$17,Paramètres!$D$17))+MIN(H33,MIN(N($I33)*Paramètres!$C$18,Paramètres!$D$18))</f>
        <v>67731</v>
      </c>
      <c r="M33" s="11">
        <f>MIN(N($I33),Paramètres!$C$7)*Paramètres!$C$6</f>
        <v>12417.79</v>
      </c>
      <c r="N33" s="11">
        <f>MIN(M33,E33*Paramètres!$C$8)</f>
        <v>12417.79</v>
      </c>
      <c r="O33" s="11">
        <f>E33*IF(K33="Cadre supérieur",Paramètres!$C$10,Paramètres!$C$9)</f>
        <v>31609.4</v>
      </c>
      <c r="P33" s="11">
        <f t="shared" si="1"/>
        <v>114000</v>
      </c>
      <c r="Q33" s="11">
        <f>SUMPRODUCT((P33&gt;Paramètres!$B$21:$B$27)*(P33-Paramètres!$B$21:$B$27)*Paramètres!$E$21:$E$27)</f>
        <v>11928</v>
      </c>
      <c r="R33" s="11">
        <f>Q33*INDEX(Paramètres!$C$31:$C$38,MIN(MAX(INT(N(J33)),0),7)+1)</f>
        <v>0</v>
      </c>
      <c r="S33" s="14">
        <f t="shared" si="2"/>
        <v>11928</v>
      </c>
      <c r="T33" s="11">
        <f>ROUND(N($I33)*Paramètres!$C$13,0)</f>
        <v>6773</v>
      </c>
      <c r="U33" s="11">
        <f>ROUND(MAX(0,N($I33)-(Q33-R33)-M33)*Paramètres!$C$12,0)</f>
        <v>2014</v>
      </c>
      <c r="V33" s="14">
        <f t="shared" si="3"/>
        <v>199418</v>
      </c>
    </row>
    <row r="34" spans="2:22" ht="17.25" customHeight="1" x14ac:dyDescent="0.35">
      <c r="B34" s="7">
        <v>33</v>
      </c>
      <c r="C34" s="8" t="s">
        <v>59</v>
      </c>
      <c r="D34" s="9">
        <v>45778</v>
      </c>
      <c r="E34" s="33">
        <f t="shared" si="0"/>
        <v>242562</v>
      </c>
      <c r="F34" s="36">
        <f>MIN(ROUNDDOWN(N($I34)*Paramètres!$C$16,0),Paramètres!$D$16)</f>
        <v>69303</v>
      </c>
      <c r="G34" s="36">
        <f>MIN(ROUNDDOWN(N($I34)*Paramètres!$C$17,0),Paramètres!$D$17)</f>
        <v>17325</v>
      </c>
      <c r="H34" s="36">
        <f>MIN(ROUNDDOWN(N($I34)*Paramètres!$C$18,0),Paramètres!$D$18)</f>
        <v>17325</v>
      </c>
      <c r="I34" s="35">
        <v>346515</v>
      </c>
      <c r="J34" s="12">
        <v>0</v>
      </c>
      <c r="K34" s="13" t="str">
        <f>IF(E34&lt;Paramètres!$C$11,"Cadre inférieur","Cadre supérieur")</f>
        <v>Cadre supérieur</v>
      </c>
      <c r="L34" s="11">
        <f>MIN(F34,MIN(N($I34)*Paramètres!$C$16,Paramètres!$D$16))+MIN(G34,MIN(N($I34)*Paramètres!$C$17,Paramètres!$D$17))+MIN(H34,MIN(N($I34)*Paramètres!$C$18,Paramètres!$D$18))</f>
        <v>103953</v>
      </c>
      <c r="M34" s="11">
        <f>MIN(N($I34),Paramètres!$C$7)*Paramètres!$C$6</f>
        <v>19058.325000000001</v>
      </c>
      <c r="N34" s="11">
        <f>MIN(M34,E34*Paramètres!$C$8)</f>
        <v>19058.325000000001</v>
      </c>
      <c r="O34" s="11">
        <f>E34*IF(K34="Cadre supérieur",Paramètres!$C$10,Paramètres!$C$9)</f>
        <v>48512.4</v>
      </c>
      <c r="P34" s="11">
        <f t="shared" si="1"/>
        <v>174900</v>
      </c>
      <c r="Q34" s="11">
        <f>SUMPRODUCT((P34&gt;Paramètres!$B$21:$B$27)*(P34-Paramètres!$B$21:$B$27)*Paramètres!$E$21:$E$27)</f>
        <v>23133.299999999996</v>
      </c>
      <c r="R34" s="11">
        <f>Q34*INDEX(Paramètres!$C$31:$C$38,MIN(MAX(INT(N(J34)),0),7)+1)</f>
        <v>0</v>
      </c>
      <c r="S34" s="14">
        <f t="shared" si="2"/>
        <v>23133</v>
      </c>
      <c r="T34" s="11">
        <f>ROUND(N($I34)*Paramètres!$C$13,0)</f>
        <v>10395</v>
      </c>
      <c r="U34" s="11">
        <f>ROUND(MAX(0,N($I34)-(Q34-R34)-M34)*Paramètres!$C$12,0)</f>
        <v>3043</v>
      </c>
      <c r="V34" s="14">
        <f t="shared" si="3"/>
        <v>301281</v>
      </c>
    </row>
    <row r="35" spans="2:22" ht="17.25" customHeight="1" x14ac:dyDescent="0.35">
      <c r="B35" s="7">
        <v>34</v>
      </c>
      <c r="C35" s="8" t="s">
        <v>60</v>
      </c>
      <c r="D35" s="9">
        <v>45962</v>
      </c>
      <c r="E35" s="33">
        <f t="shared" si="0"/>
        <v>149495</v>
      </c>
      <c r="F35" s="36">
        <f>MIN(ROUNDDOWN(N($I35)*Paramètres!$C$16,0),Paramètres!$D$16)</f>
        <v>42712</v>
      </c>
      <c r="G35" s="36">
        <f>MIN(ROUNDDOWN(N($I35)*Paramètres!$C$17,0),Paramètres!$D$17)</f>
        <v>10678</v>
      </c>
      <c r="H35" s="36">
        <f>MIN(ROUNDDOWN(N($I35)*Paramètres!$C$18,0),Paramètres!$D$18)</f>
        <v>10678</v>
      </c>
      <c r="I35" s="35">
        <v>213563</v>
      </c>
      <c r="J35" s="12">
        <v>0</v>
      </c>
      <c r="K35" s="13" t="str">
        <f>IF(E35&lt;Paramètres!$C$11,"Cadre inférieur","Cadre supérieur")</f>
        <v>Cadre inférieur</v>
      </c>
      <c r="L35" s="11">
        <f>MIN(F35,MIN(N($I35)*Paramètres!$C$16,Paramètres!$D$16))+MIN(G35,MIN(N($I35)*Paramètres!$C$17,Paramètres!$D$17))+MIN(H35,MIN(N($I35)*Paramètres!$C$18,Paramètres!$D$18))</f>
        <v>64068</v>
      </c>
      <c r="M35" s="11">
        <f>MIN(N($I35),Paramètres!$C$7)*Paramètres!$C$6</f>
        <v>11745.965</v>
      </c>
      <c r="N35" s="11">
        <f>MIN(M35,E35*Paramètres!$C$8)</f>
        <v>11745.965</v>
      </c>
      <c r="O35" s="11">
        <f>E35*IF(K35="Cadre supérieur",Paramètres!$C$10,Paramètres!$C$9)</f>
        <v>37373.75</v>
      </c>
      <c r="P35" s="11">
        <f t="shared" si="1"/>
        <v>100300</v>
      </c>
      <c r="Q35" s="11">
        <f>SUMPRODUCT((P35&gt;Paramètres!$B$21:$B$27)*(P35-Paramètres!$B$21:$B$27)*Paramètres!$E$21:$E$27)</f>
        <v>9777.1</v>
      </c>
      <c r="R35" s="11">
        <f>Q35*INDEX(Paramètres!$C$31:$C$38,MIN(MAX(INT(N(J35)),0),7)+1)</f>
        <v>0</v>
      </c>
      <c r="S35" s="14">
        <f t="shared" si="2"/>
        <v>9777</v>
      </c>
      <c r="T35" s="11">
        <f>ROUND(N($I35)*Paramètres!$C$13,0)</f>
        <v>6407</v>
      </c>
      <c r="U35" s="11">
        <f>ROUND(MAX(0,N($I35)-(Q35-R35)-M35)*Paramètres!$C$12,0)</f>
        <v>1920</v>
      </c>
      <c r="V35" s="14">
        <f t="shared" si="3"/>
        <v>190120</v>
      </c>
    </row>
    <row r="36" spans="2:22" ht="17.25" customHeight="1" x14ac:dyDescent="0.35">
      <c r="B36" s="7">
        <v>36</v>
      </c>
      <c r="C36" s="8" t="s">
        <v>62</v>
      </c>
      <c r="D36" s="9">
        <v>46023</v>
      </c>
      <c r="E36" s="33">
        <f t="shared" si="0"/>
        <v>149495</v>
      </c>
      <c r="F36" s="36">
        <f>MIN(ROUNDDOWN(N($I36)*Paramètres!$C$16,0),Paramètres!$D$16)</f>
        <v>42712</v>
      </c>
      <c r="G36" s="36">
        <f>MIN(ROUNDDOWN(N($I36)*Paramètres!$C$17,0),Paramètres!$D$17)</f>
        <v>10678</v>
      </c>
      <c r="H36" s="36">
        <f>MIN(ROUNDDOWN(N($I36)*Paramètres!$C$18,0),Paramètres!$D$18)</f>
        <v>10678</v>
      </c>
      <c r="I36" s="35">
        <v>213563</v>
      </c>
      <c r="J36" s="12">
        <v>0</v>
      </c>
      <c r="K36" s="13" t="str">
        <f>IF(E36&lt;Paramètres!$C$11,"Cadre inférieur","Cadre supérieur")</f>
        <v>Cadre inférieur</v>
      </c>
      <c r="L36" s="11">
        <f>MIN(F36,MIN(N($I36)*Paramètres!$C$16,Paramètres!$D$16))+MIN(G36,MIN(N($I36)*Paramètres!$C$17,Paramètres!$D$17))+MIN(H36,MIN(N($I36)*Paramètres!$C$18,Paramètres!$D$18))</f>
        <v>64068</v>
      </c>
      <c r="M36" s="11">
        <f>MIN(N($I36),Paramètres!$C$7)*Paramètres!$C$6</f>
        <v>11745.965</v>
      </c>
      <c r="N36" s="11">
        <f>MIN(M36,E36*Paramètres!$C$8)</f>
        <v>11745.965</v>
      </c>
      <c r="O36" s="11">
        <f>E36*IF(K36="Cadre supérieur",Paramètres!$C$10,Paramètres!$C$9)</f>
        <v>37373.75</v>
      </c>
      <c r="P36" s="11">
        <f t="shared" si="1"/>
        <v>100300</v>
      </c>
      <c r="Q36" s="11">
        <f>SUMPRODUCT((P36&gt;Paramètres!$B$21:$B$27)*(P36-Paramètres!$B$21:$B$27)*Paramètres!$E$21:$E$27)</f>
        <v>9777.1</v>
      </c>
      <c r="R36" s="11">
        <f>Q36*INDEX(Paramètres!$C$31:$C$38,MIN(MAX(INT(N(J36)),0),7)+1)</f>
        <v>0</v>
      </c>
      <c r="S36" s="14">
        <f t="shared" si="2"/>
        <v>9777</v>
      </c>
      <c r="T36" s="11">
        <f>ROUND(N($I36)*Paramètres!$C$13,0)</f>
        <v>6407</v>
      </c>
      <c r="U36" s="11">
        <f>ROUND(MAX(0,N($I36)-(Q36-R36)-M36)*Paramètres!$C$12,0)</f>
        <v>1920</v>
      </c>
      <c r="V36" s="14">
        <f t="shared" si="3"/>
        <v>190120</v>
      </c>
    </row>
    <row r="37" spans="2:22" ht="17.25" customHeight="1" x14ac:dyDescent="0.35">
      <c r="B37" s="7">
        <v>37</v>
      </c>
      <c r="C37" s="8" t="s">
        <v>63</v>
      </c>
      <c r="D37" s="9">
        <v>46220</v>
      </c>
      <c r="E37" s="33">
        <f t="shared" si="0"/>
        <v>136815</v>
      </c>
      <c r="F37" s="36">
        <f>MIN(ROUNDDOWN(N($I37)*Paramètres!$C$16,0),Paramètres!$D$16)</f>
        <v>39089</v>
      </c>
      <c r="G37" s="36">
        <f>MIN(ROUNDDOWN(N($I37)*Paramètres!$C$17,0),Paramètres!$D$17)</f>
        <v>9772</v>
      </c>
      <c r="H37" s="36">
        <f>MIN(ROUNDDOWN(N($I37)*Paramètres!$C$18,0),Paramètres!$D$18)</f>
        <v>9772</v>
      </c>
      <c r="I37" s="35">
        <v>195448</v>
      </c>
      <c r="J37" s="12">
        <v>0</v>
      </c>
      <c r="K37" s="13" t="str">
        <f>IF(E37&lt;Paramètres!$C$11,"Cadre inférieur","Cadre supérieur")</f>
        <v>Cadre inférieur</v>
      </c>
      <c r="L37" s="11">
        <f>MIN(F37,MIN(N($I37)*Paramètres!$C$16,Paramètres!$D$16))+MIN(G37,MIN(N($I37)*Paramètres!$C$17,Paramètres!$D$17))+MIN(H37,MIN(N($I37)*Paramètres!$C$18,Paramètres!$D$18))</f>
        <v>58633</v>
      </c>
      <c r="M37" s="11">
        <f>MIN(N($I37),Paramètres!$C$7)*Paramètres!$C$6</f>
        <v>10749.64</v>
      </c>
      <c r="N37" s="11">
        <f>MIN(M37,E37*Paramètres!$C$8)</f>
        <v>10749.64</v>
      </c>
      <c r="O37" s="11">
        <f>E37*IF(K37="Cadre supérieur",Paramètres!$C$10,Paramètres!$C$9)</f>
        <v>34203.75</v>
      </c>
      <c r="P37" s="11">
        <f t="shared" si="1"/>
        <v>91800</v>
      </c>
      <c r="Q37" s="11">
        <f>SUMPRODUCT((P37&gt;Paramètres!$B$21:$B$27)*(P37-Paramètres!$B$21:$B$27)*Paramètres!$E$21:$E$27)</f>
        <v>8442.6</v>
      </c>
      <c r="R37" s="11">
        <f>Q37*INDEX(Paramètres!$C$31:$C$38,MIN(MAX(INT(N(J37)),0),7)+1)</f>
        <v>0</v>
      </c>
      <c r="S37" s="14">
        <f t="shared" si="2"/>
        <v>8443</v>
      </c>
      <c r="T37" s="11">
        <f>ROUND(N($I37)*Paramètres!$C$13,0)</f>
        <v>5863</v>
      </c>
      <c r="U37" s="11">
        <f>ROUND(MAX(0,N($I37)-(Q37-R37)-M37)*Paramètres!$C$12,0)</f>
        <v>1763</v>
      </c>
      <c r="V37" s="14">
        <f t="shared" si="3"/>
        <v>174492</v>
      </c>
    </row>
    <row r="38" spans="2:22" ht="17.25" customHeight="1" x14ac:dyDescent="0.35">
      <c r="B38" s="7">
        <v>38</v>
      </c>
      <c r="C38" s="8" t="s">
        <v>64</v>
      </c>
      <c r="D38" s="9">
        <v>46068</v>
      </c>
      <c r="E38" s="33">
        <f t="shared" si="0"/>
        <v>95189</v>
      </c>
      <c r="F38" s="36">
        <f>MIN(ROUNDDOWN(N($I38)*Paramètres!$C$16,0),Paramètres!$D$16)</f>
        <v>27196</v>
      </c>
      <c r="G38" s="36">
        <f>MIN(ROUNDDOWN(N($I38)*Paramètres!$C$17,0),Paramètres!$D$17)</f>
        <v>6799</v>
      </c>
      <c r="H38" s="36">
        <f>MIN(ROUNDDOWN(N($I38)*Paramètres!$C$18,0),Paramètres!$D$18)</f>
        <v>6799</v>
      </c>
      <c r="I38" s="35">
        <v>135983</v>
      </c>
      <c r="J38" s="12">
        <v>0</v>
      </c>
      <c r="K38" s="13" t="str">
        <f>IF(E38&lt;Paramètres!$C$11,"Cadre inférieur","Cadre supérieur")</f>
        <v>Cadre inférieur</v>
      </c>
      <c r="L38" s="11">
        <f>MIN(F38,MIN(N($I38)*Paramètres!$C$16,Paramètres!$D$16))+MIN(G38,MIN(N($I38)*Paramètres!$C$17,Paramètres!$D$17))+MIN(H38,MIN(N($I38)*Paramètres!$C$18,Paramètres!$D$18))</f>
        <v>40794</v>
      </c>
      <c r="M38" s="11">
        <f>MIN(N($I38),Paramètres!$C$7)*Paramètres!$C$6</f>
        <v>7479.0649999999996</v>
      </c>
      <c r="N38" s="11">
        <f>MIN(M38,E38*Paramètres!$C$8)</f>
        <v>7479.0649999999996</v>
      </c>
      <c r="O38" s="11">
        <f>E38*IF(K38="Cadre supérieur",Paramètres!$C$10,Paramètres!$C$9)</f>
        <v>23797.25</v>
      </c>
      <c r="P38" s="11">
        <f t="shared" si="1"/>
        <v>63900</v>
      </c>
      <c r="Q38" s="11">
        <f>SUMPRODUCT((P38&gt;Paramètres!$B$21:$B$27)*(P38-Paramètres!$B$21:$B$27)*Paramètres!$E$21:$E$27)</f>
        <v>4352.0999999999995</v>
      </c>
      <c r="R38" s="11">
        <f>Q38*INDEX(Paramètres!$C$31:$C$38,MIN(MAX(INT(N(J38)),0),7)+1)</f>
        <v>0</v>
      </c>
      <c r="S38" s="14">
        <f t="shared" si="2"/>
        <v>4352</v>
      </c>
      <c r="T38" s="11">
        <f>ROUND(N($I38)*Paramètres!$C$13,0)</f>
        <v>4079</v>
      </c>
      <c r="U38" s="11">
        <f>ROUND(MAX(0,N($I38)-(Q38-R38)-M38)*Paramètres!$C$12,0)</f>
        <v>1242</v>
      </c>
      <c r="V38" s="14">
        <f t="shared" si="3"/>
        <v>122910</v>
      </c>
    </row>
    <row r="39" spans="2:22" ht="17.25" customHeight="1" x14ac:dyDescent="0.35">
      <c r="B39" s="7">
        <v>39</v>
      </c>
      <c r="C39" s="8" t="s">
        <v>65</v>
      </c>
      <c r="D39" s="9">
        <v>46219</v>
      </c>
      <c r="E39" s="33">
        <f t="shared" ref="E39:E70" si="4">+I39-(F39+G39+H39)</f>
        <v>124172</v>
      </c>
      <c r="F39" s="36">
        <f>MIN(ROUNDDOWN(N($I39)*Paramètres!$C$16,0),Paramètres!$D$16)</f>
        <v>35477</v>
      </c>
      <c r="G39" s="36">
        <f>MIN(ROUNDDOWN(N($I39)*Paramètres!$C$17,0),Paramètres!$D$17)</f>
        <v>8869</v>
      </c>
      <c r="H39" s="36">
        <f>MIN(ROUNDDOWN(N($I39)*Paramètres!$C$18,0),Paramètres!$D$18)</f>
        <v>8869</v>
      </c>
      <c r="I39" s="35">
        <v>177387</v>
      </c>
      <c r="J39" s="12">
        <v>0</v>
      </c>
      <c r="K39" s="13" t="str">
        <f>IF(E39&lt;Paramètres!$C$11,"Cadre inférieur","Cadre supérieur")</f>
        <v>Cadre inférieur</v>
      </c>
      <c r="L39" s="11">
        <f>MIN(F39,MIN(N($I39)*Paramètres!$C$16,Paramètres!$D$16))+MIN(G39,MIN(N($I39)*Paramètres!$C$17,Paramètres!$D$17))+MIN(H39,MIN(N($I39)*Paramètres!$C$18,Paramètres!$D$18))</f>
        <v>53215</v>
      </c>
      <c r="M39" s="11">
        <f>MIN(N($I39),Paramètres!$C$7)*Paramètres!$C$6</f>
        <v>9756.2849999999999</v>
      </c>
      <c r="N39" s="11">
        <f>MIN(M39,E39*Paramètres!$C$8)</f>
        <v>9756.2849999999999</v>
      </c>
      <c r="O39" s="11">
        <f>E39*IF(K39="Cadre supérieur",Paramètres!$C$10,Paramètres!$C$9)</f>
        <v>31043</v>
      </c>
      <c r="P39" s="11">
        <f t="shared" ref="P39:P70" si="5">MAX(0,ROUNDDOWN(N($I39)-L39-N39-O39,-2))</f>
        <v>83300</v>
      </c>
      <c r="Q39" s="11">
        <f>SUMPRODUCT((P39&gt;Paramètres!$B$21:$B$27)*(P39-Paramètres!$B$21:$B$27)*Paramètres!$E$21:$E$27)</f>
        <v>7108.1</v>
      </c>
      <c r="R39" s="11">
        <f>Q39*INDEX(Paramètres!$C$31:$C$38,MIN(MAX(INT(N(J39)),0),7)+1)</f>
        <v>0</v>
      </c>
      <c r="S39" s="14">
        <f t="shared" ref="S39:S70" si="6">ROUND(Q39-R39,0)</f>
        <v>7108</v>
      </c>
      <c r="T39" s="11">
        <f>ROUND(N($I39)*Paramètres!$C$13,0)</f>
        <v>5322</v>
      </c>
      <c r="U39" s="11">
        <f>ROUND(MAX(0,N($I39)-(Q39-R39)-M39)*Paramètres!$C$12,0)</f>
        <v>1605</v>
      </c>
      <c r="V39" s="14">
        <f t="shared" ref="V39:V70" si="7">ROUND(N($I39)-M39-S39-U39,0)</f>
        <v>158918</v>
      </c>
    </row>
    <row r="40" spans="2:22" ht="17.25" customHeight="1" x14ac:dyDescent="0.35">
      <c r="B40" s="7">
        <v>40</v>
      </c>
      <c r="C40" s="8" t="s">
        <v>66</v>
      </c>
      <c r="D40" s="9">
        <v>44562</v>
      </c>
      <c r="E40" s="33">
        <f t="shared" si="4"/>
        <v>718489</v>
      </c>
      <c r="F40" s="36">
        <f>MIN(ROUNDDOWN(N($I40)*Paramètres!$C$16,0),Paramètres!$D$16)</f>
        <v>75000</v>
      </c>
      <c r="G40" s="36">
        <f>MIN(ROUNDDOWN(N($I40)*Paramètres!$C$17,0),Paramètres!$D$17)</f>
        <v>30000</v>
      </c>
      <c r="H40" s="36">
        <f>MIN(ROUNDDOWN(N($I40)*Paramètres!$C$18,0),Paramètres!$D$18)</f>
        <v>43341</v>
      </c>
      <c r="I40" s="35">
        <v>866830</v>
      </c>
      <c r="J40" s="12">
        <v>0</v>
      </c>
      <c r="K40" s="13" t="str">
        <f>IF(E40&lt;Paramètres!$C$11,"Cadre inférieur","Cadre supérieur")</f>
        <v>Cadre supérieur</v>
      </c>
      <c r="L40" s="11">
        <f>MIN(F40,MIN(N($I40)*Paramètres!$C$16,Paramètres!$D$16))+MIN(G40,MIN(N($I40)*Paramètres!$C$17,Paramètres!$D$17))+MIN(H40,MIN(N($I40)*Paramètres!$C$18,Paramètres!$D$18))</f>
        <v>148341</v>
      </c>
      <c r="M40" s="11">
        <f>MIN(N($I40),Paramètres!$C$7)*Paramètres!$C$6</f>
        <v>44000</v>
      </c>
      <c r="N40" s="11">
        <f>MIN(M40,E40*Paramètres!$C$8)</f>
        <v>44000</v>
      </c>
      <c r="O40" s="11">
        <f>E40*IF(K40="Cadre supérieur",Paramètres!$C$10,Paramètres!$C$9)</f>
        <v>143697.80000000002</v>
      </c>
      <c r="P40" s="11">
        <f t="shared" si="5"/>
        <v>530700</v>
      </c>
      <c r="Q40" s="11">
        <f>SUMPRODUCT((P40&gt;Paramètres!$B$21:$B$27)*(P40-Paramètres!$B$21:$B$27)*Paramètres!$E$21:$E$27)</f>
        <v>109605</v>
      </c>
      <c r="R40" s="11">
        <f>Q40*INDEX(Paramètres!$C$31:$C$38,MIN(MAX(INT(N(J40)),0),7)+1)</f>
        <v>0</v>
      </c>
      <c r="S40" s="14">
        <f t="shared" si="6"/>
        <v>109605</v>
      </c>
      <c r="T40" s="11">
        <f>ROUND(N($I40)*Paramètres!$C$13,0)</f>
        <v>26005</v>
      </c>
      <c r="U40" s="11">
        <f>ROUND(MAX(0,N($I40)-(Q40-R40)-M40)*Paramètres!$C$12,0)</f>
        <v>7132</v>
      </c>
      <c r="V40" s="14">
        <f t="shared" si="7"/>
        <v>706093</v>
      </c>
    </row>
    <row r="41" spans="2:22" ht="17.25" customHeight="1" x14ac:dyDescent="0.35">
      <c r="B41" s="7">
        <v>41</v>
      </c>
      <c r="C41" s="8" t="s">
        <v>67</v>
      </c>
      <c r="D41" s="9">
        <v>46213</v>
      </c>
      <c r="E41" s="33">
        <f t="shared" si="4"/>
        <v>124172</v>
      </c>
      <c r="F41" s="36">
        <f>MIN(ROUNDDOWN(N($I41)*Paramètres!$C$16,0),Paramètres!$D$16)</f>
        <v>35477</v>
      </c>
      <c r="G41" s="36">
        <f>MIN(ROUNDDOWN(N($I41)*Paramètres!$C$17,0),Paramètres!$D$17)</f>
        <v>8869</v>
      </c>
      <c r="H41" s="36">
        <f>MIN(ROUNDDOWN(N($I41)*Paramètres!$C$18,0),Paramètres!$D$18)</f>
        <v>8869</v>
      </c>
      <c r="I41" s="35">
        <v>177387</v>
      </c>
      <c r="J41" s="12">
        <v>0</v>
      </c>
      <c r="K41" s="13" t="str">
        <f>IF(E41&lt;Paramètres!$C$11,"Cadre inférieur","Cadre supérieur")</f>
        <v>Cadre inférieur</v>
      </c>
      <c r="L41" s="11">
        <f>MIN(F41,MIN(N($I41)*Paramètres!$C$16,Paramètres!$D$16))+MIN(G41,MIN(N($I41)*Paramètres!$C$17,Paramètres!$D$17))+MIN(H41,MIN(N($I41)*Paramètres!$C$18,Paramètres!$D$18))</f>
        <v>53215</v>
      </c>
      <c r="M41" s="11">
        <f>MIN(N($I41),Paramètres!$C$7)*Paramètres!$C$6</f>
        <v>9756.2849999999999</v>
      </c>
      <c r="N41" s="11">
        <f>MIN(M41,E41*Paramètres!$C$8)</f>
        <v>9756.2849999999999</v>
      </c>
      <c r="O41" s="11">
        <f>E41*IF(K41="Cadre supérieur",Paramètres!$C$10,Paramètres!$C$9)</f>
        <v>31043</v>
      </c>
      <c r="P41" s="11">
        <f t="shared" si="5"/>
        <v>83300</v>
      </c>
      <c r="Q41" s="11">
        <f>SUMPRODUCT((P41&gt;Paramètres!$B$21:$B$27)*(P41-Paramètres!$B$21:$B$27)*Paramètres!$E$21:$E$27)</f>
        <v>7108.1</v>
      </c>
      <c r="R41" s="11">
        <f>Q41*INDEX(Paramètres!$C$31:$C$38,MIN(MAX(INT(N(J41)),0),7)+1)</f>
        <v>0</v>
      </c>
      <c r="S41" s="14">
        <f t="shared" si="6"/>
        <v>7108</v>
      </c>
      <c r="T41" s="11">
        <f>ROUND(N($I41)*Paramètres!$C$13,0)</f>
        <v>5322</v>
      </c>
      <c r="U41" s="11">
        <f>ROUND(MAX(0,N($I41)-(Q41-R41)-M41)*Paramètres!$C$12,0)</f>
        <v>1605</v>
      </c>
      <c r="V41" s="14">
        <f t="shared" si="7"/>
        <v>158918</v>
      </c>
    </row>
    <row r="42" spans="2:22" ht="17.25" customHeight="1" x14ac:dyDescent="0.35">
      <c r="B42" s="7">
        <v>42</v>
      </c>
      <c r="C42" s="8" t="s">
        <v>68</v>
      </c>
      <c r="D42" s="9">
        <v>46218</v>
      </c>
      <c r="E42" s="33">
        <f t="shared" si="4"/>
        <v>124172</v>
      </c>
      <c r="F42" s="36">
        <f>MIN(ROUNDDOWN(N($I42)*Paramètres!$C$16,0),Paramètres!$D$16)</f>
        <v>35477</v>
      </c>
      <c r="G42" s="36">
        <f>MIN(ROUNDDOWN(N($I42)*Paramètres!$C$17,0),Paramètres!$D$17)</f>
        <v>8869</v>
      </c>
      <c r="H42" s="36">
        <f>MIN(ROUNDDOWN(N($I42)*Paramètres!$C$18,0),Paramètres!$D$18)</f>
        <v>8869</v>
      </c>
      <c r="I42" s="35">
        <v>177387</v>
      </c>
      <c r="J42" s="12">
        <v>0</v>
      </c>
      <c r="K42" s="13" t="str">
        <f>IF(E42&lt;Paramètres!$C$11,"Cadre inférieur","Cadre supérieur")</f>
        <v>Cadre inférieur</v>
      </c>
      <c r="L42" s="11">
        <f>MIN(F42,MIN(N($I42)*Paramètres!$C$16,Paramètres!$D$16))+MIN(G42,MIN(N($I42)*Paramètres!$C$17,Paramètres!$D$17))+MIN(H42,MIN(N($I42)*Paramètres!$C$18,Paramètres!$D$18))</f>
        <v>53215</v>
      </c>
      <c r="M42" s="11">
        <f>MIN(N($I42),Paramètres!$C$7)*Paramètres!$C$6</f>
        <v>9756.2849999999999</v>
      </c>
      <c r="N42" s="11">
        <f>MIN(M42,E42*Paramètres!$C$8)</f>
        <v>9756.2849999999999</v>
      </c>
      <c r="O42" s="11">
        <f>E42*IF(K42="Cadre supérieur",Paramètres!$C$10,Paramètres!$C$9)</f>
        <v>31043</v>
      </c>
      <c r="P42" s="11">
        <f t="shared" si="5"/>
        <v>83300</v>
      </c>
      <c r="Q42" s="11">
        <f>SUMPRODUCT((P42&gt;Paramètres!$B$21:$B$27)*(P42-Paramètres!$B$21:$B$27)*Paramètres!$E$21:$E$27)</f>
        <v>7108.1</v>
      </c>
      <c r="R42" s="11">
        <f>Q42*INDEX(Paramètres!$C$31:$C$38,MIN(MAX(INT(N(J42)),0),7)+1)</f>
        <v>0</v>
      </c>
      <c r="S42" s="14">
        <f t="shared" si="6"/>
        <v>7108</v>
      </c>
      <c r="T42" s="11">
        <f>ROUND(N($I42)*Paramètres!$C$13,0)</f>
        <v>5322</v>
      </c>
      <c r="U42" s="11">
        <f>ROUND(MAX(0,N($I42)-(Q42-R42)-M42)*Paramètres!$C$12,0)</f>
        <v>1605</v>
      </c>
      <c r="V42" s="14">
        <f t="shared" si="7"/>
        <v>158918</v>
      </c>
    </row>
    <row r="43" spans="2:22" ht="17.25" customHeight="1" x14ac:dyDescent="0.35">
      <c r="B43" s="7">
        <v>43</v>
      </c>
      <c r="C43" s="8" t="s">
        <v>69</v>
      </c>
      <c r="D43" s="9">
        <v>46144</v>
      </c>
      <c r="E43" s="33">
        <f t="shared" si="4"/>
        <v>75880</v>
      </c>
      <c r="F43" s="36">
        <f>MIN(ROUNDDOWN(N($I43)*Paramètres!$C$16,0),Paramètres!$D$16)</f>
        <v>21679</v>
      </c>
      <c r="G43" s="36">
        <f>MIN(ROUNDDOWN(N($I43)*Paramètres!$C$17,0),Paramètres!$D$17)</f>
        <v>5419</v>
      </c>
      <c r="H43" s="36">
        <f>MIN(ROUNDDOWN(N($I43)*Paramètres!$C$18,0),Paramètres!$D$18)</f>
        <v>5419</v>
      </c>
      <c r="I43" s="35">
        <v>108397</v>
      </c>
      <c r="J43" s="12">
        <v>0</v>
      </c>
      <c r="K43" s="13" t="str">
        <f>IF(E43&lt;Paramètres!$C$11,"Cadre inférieur","Cadre supérieur")</f>
        <v>Cadre inférieur</v>
      </c>
      <c r="L43" s="11">
        <f>MIN(F43,MIN(N($I43)*Paramètres!$C$16,Paramètres!$D$16))+MIN(G43,MIN(N($I43)*Paramètres!$C$17,Paramètres!$D$17))+MIN(H43,MIN(N($I43)*Paramètres!$C$18,Paramètres!$D$18))</f>
        <v>32517</v>
      </c>
      <c r="M43" s="11">
        <f>MIN(N($I43),Paramètres!$C$7)*Paramètres!$C$6</f>
        <v>5961.835</v>
      </c>
      <c r="N43" s="11">
        <f>MIN(M43,E43*Paramètres!$C$8)</f>
        <v>5961.835</v>
      </c>
      <c r="O43" s="11">
        <f>E43*IF(K43="Cadre supérieur",Paramètres!$C$10,Paramètres!$C$9)</f>
        <v>18970</v>
      </c>
      <c r="P43" s="11">
        <f t="shared" si="5"/>
        <v>50900</v>
      </c>
      <c r="Q43" s="11">
        <f>SUMPRODUCT((P43&gt;Paramètres!$B$21:$B$27)*(P43-Paramètres!$B$21:$B$27)*Paramètres!$E$21:$E$27)</f>
        <v>2545.1</v>
      </c>
      <c r="R43" s="11">
        <f>Q43*INDEX(Paramètres!$C$31:$C$38,MIN(MAX(INT(N(J43)),0),7)+1)</f>
        <v>0</v>
      </c>
      <c r="S43" s="14">
        <f t="shared" si="6"/>
        <v>2545</v>
      </c>
      <c r="T43" s="11">
        <f>ROUND(N($I43)*Paramètres!$C$13,0)</f>
        <v>3252</v>
      </c>
      <c r="U43" s="11">
        <f>ROUND(MAX(0,N($I43)-(Q43-R43)-M43)*Paramètres!$C$12,0)</f>
        <v>999</v>
      </c>
      <c r="V43" s="14">
        <f t="shared" si="7"/>
        <v>98891</v>
      </c>
    </row>
    <row r="44" spans="2:22" x14ac:dyDescent="0.35">
      <c r="B44" s="7">
        <v>44</v>
      </c>
      <c r="C44" s="8" t="s">
        <v>70</v>
      </c>
      <c r="D44" s="19"/>
      <c r="E44" s="33">
        <f t="shared" si="4"/>
        <v>158047</v>
      </c>
      <c r="F44" s="36">
        <f>MIN(ROUNDDOWN(N($I44)*Paramètres!$C$16,0),Paramètres!$D$16)</f>
        <v>45155</v>
      </c>
      <c r="G44" s="36">
        <f>MIN(ROUNDDOWN(N($I44)*Paramètres!$C$17,0),Paramètres!$D$17)</f>
        <v>11288</v>
      </c>
      <c r="H44" s="36">
        <f>MIN(ROUNDDOWN(N($I44)*Paramètres!$C$18,0),Paramètres!$D$18)</f>
        <v>11288</v>
      </c>
      <c r="I44" s="35">
        <v>225778</v>
      </c>
      <c r="J44" s="12">
        <v>0</v>
      </c>
      <c r="K44" s="13" t="str">
        <f>IF(E44&lt;Paramètres!$C$11,"Cadre inférieur","Cadre supérieur")</f>
        <v>Cadre supérieur</v>
      </c>
      <c r="L44" s="11">
        <f>MIN(F44,MIN(N($I44)*Paramètres!$C$16,Paramètres!$D$16))+MIN(G44,MIN(N($I44)*Paramètres!$C$17,Paramètres!$D$17))+MIN(H44,MIN(N($I44)*Paramètres!$C$18,Paramètres!$D$18))</f>
        <v>67731</v>
      </c>
      <c r="M44" s="11">
        <f>MIN(N($I44),Paramètres!$C$7)*Paramètres!$C$6</f>
        <v>12417.79</v>
      </c>
      <c r="N44" s="11">
        <f>MIN(M44,E44*Paramètres!$C$8)</f>
        <v>12417.79</v>
      </c>
      <c r="O44" s="11">
        <f>E44*IF(K44="Cadre supérieur",Paramètres!$C$10,Paramètres!$C$9)</f>
        <v>31609.4</v>
      </c>
      <c r="P44" s="11">
        <f t="shared" si="5"/>
        <v>114000</v>
      </c>
      <c r="Q44" s="11">
        <f>SUMPRODUCT((P44&gt;Paramètres!$B$21:$B$27)*(P44-Paramètres!$B$21:$B$27)*Paramètres!$E$21:$E$27)</f>
        <v>11928</v>
      </c>
      <c r="R44" s="11">
        <f>Q44*INDEX(Paramètres!$C$31:$C$38,MIN(MAX(INT(N(J44)),0),7)+1)</f>
        <v>0</v>
      </c>
      <c r="S44" s="14">
        <f t="shared" si="6"/>
        <v>11928</v>
      </c>
      <c r="T44" s="11">
        <f>ROUND(N($I44)*Paramètres!$C$13,0)</f>
        <v>6773</v>
      </c>
      <c r="U44" s="11">
        <f>ROUND(MAX(0,N($I44)-(Q44-R44)-M44)*Paramètres!$C$12,0)</f>
        <v>2014</v>
      </c>
      <c r="V44" s="14">
        <f t="shared" si="7"/>
        <v>199418</v>
      </c>
    </row>
    <row r="45" spans="2:22" ht="17.25" customHeight="1" x14ac:dyDescent="0.35">
      <c r="B45" s="7">
        <v>45</v>
      </c>
      <c r="C45" s="8" t="s">
        <v>71</v>
      </c>
      <c r="D45" s="9">
        <v>46011</v>
      </c>
      <c r="E45" s="33">
        <f t="shared" si="4"/>
        <v>124172</v>
      </c>
      <c r="F45" s="36">
        <f>MIN(ROUNDDOWN(N($I45)*Paramètres!$C$16,0),Paramètres!$D$16)</f>
        <v>35477</v>
      </c>
      <c r="G45" s="36">
        <f>MIN(ROUNDDOWN(N($I45)*Paramètres!$C$17,0),Paramètres!$D$17)</f>
        <v>8869</v>
      </c>
      <c r="H45" s="36">
        <f>MIN(ROUNDDOWN(N($I45)*Paramètres!$C$18,0),Paramètres!$D$18)</f>
        <v>8869</v>
      </c>
      <c r="I45" s="35">
        <v>177387</v>
      </c>
      <c r="J45" s="12">
        <v>0</v>
      </c>
      <c r="K45" s="13" t="str">
        <f>IF(E45&lt;Paramètres!$C$11,"Cadre inférieur","Cadre supérieur")</f>
        <v>Cadre inférieur</v>
      </c>
      <c r="L45" s="11">
        <f>MIN(F45,MIN(N($I45)*Paramètres!$C$16,Paramètres!$D$16))+MIN(G45,MIN(N($I45)*Paramètres!$C$17,Paramètres!$D$17))+MIN(H45,MIN(N($I45)*Paramètres!$C$18,Paramètres!$D$18))</f>
        <v>53215</v>
      </c>
      <c r="M45" s="11">
        <f>MIN(N($I45),Paramètres!$C$7)*Paramètres!$C$6</f>
        <v>9756.2849999999999</v>
      </c>
      <c r="N45" s="11">
        <f>MIN(M45,E45*Paramètres!$C$8)</f>
        <v>9756.2849999999999</v>
      </c>
      <c r="O45" s="11">
        <f>E45*IF(K45="Cadre supérieur",Paramètres!$C$10,Paramètres!$C$9)</f>
        <v>31043</v>
      </c>
      <c r="P45" s="11">
        <f t="shared" si="5"/>
        <v>83300</v>
      </c>
      <c r="Q45" s="11">
        <f>SUMPRODUCT((P45&gt;Paramètres!$B$21:$B$27)*(P45-Paramètres!$B$21:$B$27)*Paramètres!$E$21:$E$27)</f>
        <v>7108.1</v>
      </c>
      <c r="R45" s="11">
        <f>Q45*INDEX(Paramètres!$C$31:$C$38,MIN(MAX(INT(N(J45)),0),7)+1)</f>
        <v>0</v>
      </c>
      <c r="S45" s="14">
        <f t="shared" si="6"/>
        <v>7108</v>
      </c>
      <c r="T45" s="11">
        <f>ROUND(N($I45)*Paramètres!$C$13,0)</f>
        <v>5322</v>
      </c>
      <c r="U45" s="11">
        <f>ROUND(MAX(0,N($I45)-(Q45-R45)-M45)*Paramètres!$C$12,0)</f>
        <v>1605</v>
      </c>
      <c r="V45" s="14">
        <f t="shared" si="7"/>
        <v>158918</v>
      </c>
    </row>
    <row r="46" spans="2:22" ht="17.25" customHeight="1" x14ac:dyDescent="0.35">
      <c r="B46" s="7">
        <v>46</v>
      </c>
      <c r="C46" s="8" t="s">
        <v>72</v>
      </c>
      <c r="D46" s="9">
        <v>46183</v>
      </c>
      <c r="E46" s="33">
        <f t="shared" si="4"/>
        <v>124172</v>
      </c>
      <c r="F46" s="36">
        <f>MIN(ROUNDDOWN(N($I46)*Paramètres!$C$16,0),Paramètres!$D$16)</f>
        <v>35477</v>
      </c>
      <c r="G46" s="36">
        <f>MIN(ROUNDDOWN(N($I46)*Paramètres!$C$17,0),Paramètres!$D$17)</f>
        <v>8869</v>
      </c>
      <c r="H46" s="36">
        <f>MIN(ROUNDDOWN(N($I46)*Paramètres!$C$18,0),Paramètres!$D$18)</f>
        <v>8869</v>
      </c>
      <c r="I46" s="35">
        <v>177387</v>
      </c>
      <c r="J46" s="12">
        <v>0</v>
      </c>
      <c r="K46" s="13" t="str">
        <f>IF(E46&lt;Paramètres!$C$11,"Cadre inférieur","Cadre supérieur")</f>
        <v>Cadre inférieur</v>
      </c>
      <c r="L46" s="11">
        <f>MIN(F46,MIN(N($I46)*Paramètres!$C$16,Paramètres!$D$16))+MIN(G46,MIN(N($I46)*Paramètres!$C$17,Paramètres!$D$17))+MIN(H46,MIN(N($I46)*Paramètres!$C$18,Paramètres!$D$18))</f>
        <v>53215</v>
      </c>
      <c r="M46" s="11">
        <f>MIN(N($I46),Paramètres!$C$7)*Paramètres!$C$6</f>
        <v>9756.2849999999999</v>
      </c>
      <c r="N46" s="11">
        <f>MIN(M46,E46*Paramètres!$C$8)</f>
        <v>9756.2849999999999</v>
      </c>
      <c r="O46" s="11">
        <f>E46*IF(K46="Cadre supérieur",Paramètres!$C$10,Paramètres!$C$9)</f>
        <v>31043</v>
      </c>
      <c r="P46" s="11">
        <f t="shared" si="5"/>
        <v>83300</v>
      </c>
      <c r="Q46" s="11">
        <f>SUMPRODUCT((P46&gt;Paramètres!$B$21:$B$27)*(P46-Paramètres!$B$21:$B$27)*Paramètres!$E$21:$E$27)</f>
        <v>7108.1</v>
      </c>
      <c r="R46" s="11">
        <f>Q46*INDEX(Paramètres!$C$31:$C$38,MIN(MAX(INT(N(J46)),0),7)+1)</f>
        <v>0</v>
      </c>
      <c r="S46" s="14">
        <f t="shared" si="6"/>
        <v>7108</v>
      </c>
      <c r="T46" s="11">
        <f>ROUND(N($I46)*Paramètres!$C$13,0)</f>
        <v>5322</v>
      </c>
      <c r="U46" s="11">
        <f>ROUND(MAX(0,N($I46)-(Q46-R46)-M46)*Paramètres!$C$12,0)</f>
        <v>1605</v>
      </c>
      <c r="V46" s="14">
        <f t="shared" si="7"/>
        <v>158918</v>
      </c>
    </row>
    <row r="47" spans="2:22" ht="17.25" customHeight="1" x14ac:dyDescent="0.35">
      <c r="B47" s="7">
        <v>47</v>
      </c>
      <c r="C47" s="8" t="s">
        <v>73</v>
      </c>
      <c r="D47" s="9">
        <v>45784</v>
      </c>
      <c r="E47" s="33">
        <f t="shared" si="4"/>
        <v>75880</v>
      </c>
      <c r="F47" s="36">
        <f>MIN(ROUNDDOWN(N($I47)*Paramètres!$C$16,0),Paramètres!$D$16)</f>
        <v>21679</v>
      </c>
      <c r="G47" s="36">
        <f>MIN(ROUNDDOWN(N($I47)*Paramètres!$C$17,0),Paramètres!$D$17)</f>
        <v>5419</v>
      </c>
      <c r="H47" s="36">
        <f>MIN(ROUNDDOWN(N($I47)*Paramètres!$C$18,0),Paramètres!$D$18)</f>
        <v>5419</v>
      </c>
      <c r="I47" s="35">
        <v>108397</v>
      </c>
      <c r="J47" s="12">
        <v>0</v>
      </c>
      <c r="K47" s="13" t="str">
        <f>IF(E47&lt;Paramètres!$C$11,"Cadre inférieur","Cadre supérieur")</f>
        <v>Cadre inférieur</v>
      </c>
      <c r="L47" s="11">
        <f>MIN(F47,MIN(N($I47)*Paramètres!$C$16,Paramètres!$D$16))+MIN(G47,MIN(N($I47)*Paramètres!$C$17,Paramètres!$D$17))+MIN(H47,MIN(N($I47)*Paramètres!$C$18,Paramètres!$D$18))</f>
        <v>32517</v>
      </c>
      <c r="M47" s="11">
        <f>MIN(N($I47),Paramètres!$C$7)*Paramètres!$C$6</f>
        <v>5961.835</v>
      </c>
      <c r="N47" s="11">
        <f>MIN(M47,E47*Paramètres!$C$8)</f>
        <v>5961.835</v>
      </c>
      <c r="O47" s="11">
        <f>E47*IF(K47="Cadre supérieur",Paramètres!$C$10,Paramètres!$C$9)</f>
        <v>18970</v>
      </c>
      <c r="P47" s="11">
        <f t="shared" si="5"/>
        <v>50900</v>
      </c>
      <c r="Q47" s="11">
        <f>SUMPRODUCT((P47&gt;Paramètres!$B$21:$B$27)*(P47-Paramètres!$B$21:$B$27)*Paramètres!$E$21:$E$27)</f>
        <v>2545.1</v>
      </c>
      <c r="R47" s="11">
        <f>Q47*INDEX(Paramètres!$C$31:$C$38,MIN(MAX(INT(N(J47)),0),7)+1)</f>
        <v>0</v>
      </c>
      <c r="S47" s="14">
        <f t="shared" si="6"/>
        <v>2545</v>
      </c>
      <c r="T47" s="11">
        <f>ROUND(N($I47)*Paramètres!$C$13,0)</f>
        <v>3252</v>
      </c>
      <c r="U47" s="11">
        <f>ROUND(MAX(0,N($I47)-(Q47-R47)-M47)*Paramètres!$C$12,0)</f>
        <v>999</v>
      </c>
      <c r="V47" s="14">
        <f t="shared" si="7"/>
        <v>98891</v>
      </c>
    </row>
    <row r="48" spans="2:22" ht="17.25" customHeight="1" x14ac:dyDescent="0.35">
      <c r="B48" s="7">
        <v>48</v>
      </c>
      <c r="C48" s="8" t="s">
        <v>74</v>
      </c>
      <c r="D48" s="9">
        <v>46000</v>
      </c>
      <c r="E48" s="33">
        <f t="shared" si="4"/>
        <v>124172</v>
      </c>
      <c r="F48" s="36">
        <f>MIN(ROUNDDOWN(N($I48)*Paramètres!$C$16,0),Paramètres!$D$16)</f>
        <v>35477</v>
      </c>
      <c r="G48" s="36">
        <f>MIN(ROUNDDOWN(N($I48)*Paramètres!$C$17,0),Paramètres!$D$17)</f>
        <v>8869</v>
      </c>
      <c r="H48" s="36">
        <f>MIN(ROUNDDOWN(N($I48)*Paramètres!$C$18,0),Paramètres!$D$18)</f>
        <v>8869</v>
      </c>
      <c r="I48" s="35">
        <v>177387</v>
      </c>
      <c r="J48" s="12">
        <v>0</v>
      </c>
      <c r="K48" s="13" t="str">
        <f>IF(E48&lt;Paramètres!$C$11,"Cadre inférieur","Cadre supérieur")</f>
        <v>Cadre inférieur</v>
      </c>
      <c r="L48" s="11">
        <f>MIN(F48,MIN(N($I48)*Paramètres!$C$16,Paramètres!$D$16))+MIN(G48,MIN(N($I48)*Paramètres!$C$17,Paramètres!$D$17))+MIN(H48,MIN(N($I48)*Paramètres!$C$18,Paramètres!$D$18))</f>
        <v>53215</v>
      </c>
      <c r="M48" s="11">
        <f>MIN(N($I48),Paramètres!$C$7)*Paramètres!$C$6</f>
        <v>9756.2849999999999</v>
      </c>
      <c r="N48" s="11">
        <f>MIN(M48,E48*Paramètres!$C$8)</f>
        <v>9756.2849999999999</v>
      </c>
      <c r="O48" s="11">
        <f>E48*IF(K48="Cadre supérieur",Paramètres!$C$10,Paramètres!$C$9)</f>
        <v>31043</v>
      </c>
      <c r="P48" s="11">
        <f t="shared" si="5"/>
        <v>83300</v>
      </c>
      <c r="Q48" s="11">
        <f>SUMPRODUCT((P48&gt;Paramètres!$B$21:$B$27)*(P48-Paramètres!$B$21:$B$27)*Paramètres!$E$21:$E$27)</f>
        <v>7108.1</v>
      </c>
      <c r="R48" s="11">
        <f>Q48*INDEX(Paramètres!$C$31:$C$38,MIN(MAX(INT(N(J48)),0),7)+1)</f>
        <v>0</v>
      </c>
      <c r="S48" s="14">
        <f t="shared" si="6"/>
        <v>7108</v>
      </c>
      <c r="T48" s="11">
        <f>ROUND(N($I48)*Paramètres!$C$13,0)</f>
        <v>5322</v>
      </c>
      <c r="U48" s="11">
        <f>ROUND(MAX(0,N($I48)-(Q48-R48)-M48)*Paramètres!$C$12,0)</f>
        <v>1605</v>
      </c>
      <c r="V48" s="14">
        <f t="shared" si="7"/>
        <v>158918</v>
      </c>
    </row>
    <row r="49" spans="2:22" ht="17.25" customHeight="1" x14ac:dyDescent="0.35">
      <c r="B49" s="7">
        <v>49</v>
      </c>
      <c r="C49" s="8" t="s">
        <v>75</v>
      </c>
      <c r="D49" s="9">
        <v>46204</v>
      </c>
      <c r="E49" s="33">
        <f t="shared" si="4"/>
        <v>124172</v>
      </c>
      <c r="F49" s="36">
        <f>MIN(ROUNDDOWN(N($I49)*Paramètres!$C$16,0),Paramètres!$D$16)</f>
        <v>35477</v>
      </c>
      <c r="G49" s="36">
        <f>MIN(ROUNDDOWN(N($I49)*Paramètres!$C$17,0),Paramètres!$D$17)</f>
        <v>8869</v>
      </c>
      <c r="H49" s="36">
        <f>MIN(ROUNDDOWN(N($I49)*Paramètres!$C$18,0),Paramètres!$D$18)</f>
        <v>8869</v>
      </c>
      <c r="I49" s="35">
        <v>177387</v>
      </c>
      <c r="J49" s="12">
        <v>0</v>
      </c>
      <c r="K49" s="13" t="str">
        <f>IF(E49&lt;Paramètres!$C$11,"Cadre inférieur","Cadre supérieur")</f>
        <v>Cadre inférieur</v>
      </c>
      <c r="L49" s="11">
        <f>MIN(F49,MIN(N($I49)*Paramètres!$C$16,Paramètres!$D$16))+MIN(G49,MIN(N($I49)*Paramètres!$C$17,Paramètres!$D$17))+MIN(H49,MIN(N($I49)*Paramètres!$C$18,Paramètres!$D$18))</f>
        <v>53215</v>
      </c>
      <c r="M49" s="11">
        <f>MIN(N($I49),Paramètres!$C$7)*Paramètres!$C$6</f>
        <v>9756.2849999999999</v>
      </c>
      <c r="N49" s="11">
        <f>MIN(M49,E49*Paramètres!$C$8)</f>
        <v>9756.2849999999999</v>
      </c>
      <c r="O49" s="11">
        <f>E49*IF(K49="Cadre supérieur",Paramètres!$C$10,Paramètres!$C$9)</f>
        <v>31043</v>
      </c>
      <c r="P49" s="11">
        <f t="shared" si="5"/>
        <v>83300</v>
      </c>
      <c r="Q49" s="11">
        <f>SUMPRODUCT((P49&gt;Paramètres!$B$21:$B$27)*(P49-Paramètres!$B$21:$B$27)*Paramètres!$E$21:$E$27)</f>
        <v>7108.1</v>
      </c>
      <c r="R49" s="11">
        <f>Q49*INDEX(Paramètres!$C$31:$C$38,MIN(MAX(INT(N(J49)),0),7)+1)</f>
        <v>0</v>
      </c>
      <c r="S49" s="14">
        <f t="shared" si="6"/>
        <v>7108</v>
      </c>
      <c r="T49" s="11">
        <f>ROUND(N($I49)*Paramètres!$C$13,0)</f>
        <v>5322</v>
      </c>
      <c r="U49" s="11">
        <f>ROUND(MAX(0,N($I49)-(Q49-R49)-M49)*Paramètres!$C$12,0)</f>
        <v>1605</v>
      </c>
      <c r="V49" s="14">
        <f t="shared" si="7"/>
        <v>158918</v>
      </c>
    </row>
    <row r="50" spans="2:22" ht="17.25" customHeight="1" x14ac:dyDescent="0.35">
      <c r="B50" s="7">
        <v>50</v>
      </c>
      <c r="C50" s="8" t="s">
        <v>76</v>
      </c>
      <c r="D50" s="9">
        <v>46088</v>
      </c>
      <c r="E50" s="33">
        <f t="shared" si="4"/>
        <v>95189</v>
      </c>
      <c r="F50" s="36">
        <f>MIN(ROUNDDOWN(N($I50)*Paramètres!$C$16,0),Paramètres!$D$16)</f>
        <v>27196</v>
      </c>
      <c r="G50" s="36">
        <f>MIN(ROUNDDOWN(N($I50)*Paramètres!$C$17,0),Paramètres!$D$17)</f>
        <v>6799</v>
      </c>
      <c r="H50" s="36">
        <f>MIN(ROUNDDOWN(N($I50)*Paramètres!$C$18,0),Paramètres!$D$18)</f>
        <v>6799</v>
      </c>
      <c r="I50" s="35">
        <v>135983</v>
      </c>
      <c r="J50" s="12">
        <v>0</v>
      </c>
      <c r="K50" s="13" t="str">
        <f>IF(E50&lt;Paramètres!$C$11,"Cadre inférieur","Cadre supérieur")</f>
        <v>Cadre inférieur</v>
      </c>
      <c r="L50" s="11">
        <f>MIN(F50,MIN(N($I50)*Paramètres!$C$16,Paramètres!$D$16))+MIN(G50,MIN(N($I50)*Paramètres!$C$17,Paramètres!$D$17))+MIN(H50,MIN(N($I50)*Paramètres!$C$18,Paramètres!$D$18))</f>
        <v>40794</v>
      </c>
      <c r="M50" s="11">
        <f>MIN(N($I50),Paramètres!$C$7)*Paramètres!$C$6</f>
        <v>7479.0649999999996</v>
      </c>
      <c r="N50" s="11">
        <f>MIN(M50,E50*Paramètres!$C$8)</f>
        <v>7479.0649999999996</v>
      </c>
      <c r="O50" s="11">
        <f>E50*IF(K50="Cadre supérieur",Paramètres!$C$10,Paramètres!$C$9)</f>
        <v>23797.25</v>
      </c>
      <c r="P50" s="11">
        <f t="shared" si="5"/>
        <v>63900</v>
      </c>
      <c r="Q50" s="11">
        <f>SUMPRODUCT((P50&gt;Paramètres!$B$21:$B$27)*(P50-Paramètres!$B$21:$B$27)*Paramètres!$E$21:$E$27)</f>
        <v>4352.0999999999995</v>
      </c>
      <c r="R50" s="11">
        <f>Q50*INDEX(Paramètres!$C$31:$C$38,MIN(MAX(INT(N(J50)),0),7)+1)</f>
        <v>0</v>
      </c>
      <c r="S50" s="14">
        <f t="shared" si="6"/>
        <v>4352</v>
      </c>
      <c r="T50" s="11">
        <f>ROUND(N($I50)*Paramètres!$C$13,0)</f>
        <v>4079</v>
      </c>
      <c r="U50" s="11">
        <f>ROUND(MAX(0,N($I50)-(Q50-R50)-M50)*Paramètres!$C$12,0)</f>
        <v>1242</v>
      </c>
      <c r="V50" s="14">
        <f t="shared" si="7"/>
        <v>122910</v>
      </c>
    </row>
    <row r="51" spans="2:22" ht="17.25" customHeight="1" x14ac:dyDescent="0.35">
      <c r="B51" s="7">
        <v>51</v>
      </c>
      <c r="C51" s="8" t="s">
        <v>77</v>
      </c>
      <c r="D51" s="9">
        <v>45766</v>
      </c>
      <c r="E51" s="33">
        <f t="shared" si="4"/>
        <v>349221</v>
      </c>
      <c r="F51" s="36">
        <f>MIN(ROUNDDOWN(N($I51)*Paramètres!$C$16,0),Paramètres!$D$16)</f>
        <v>75000</v>
      </c>
      <c r="G51" s="36">
        <f>MIN(ROUNDDOWN(N($I51)*Paramètres!$C$17,0),Paramètres!$D$17)</f>
        <v>23567</v>
      </c>
      <c r="H51" s="36">
        <f>MIN(ROUNDDOWN(N($I51)*Paramètres!$C$18,0),Paramètres!$D$18)</f>
        <v>23567</v>
      </c>
      <c r="I51" s="35">
        <v>471355</v>
      </c>
      <c r="J51" s="12">
        <v>0</v>
      </c>
      <c r="K51" s="13" t="str">
        <f>IF(E51&lt;Paramètres!$C$11,"Cadre inférieur","Cadre supérieur")</f>
        <v>Cadre supérieur</v>
      </c>
      <c r="L51" s="11">
        <f>MIN(F51,MIN(N($I51)*Paramètres!$C$16,Paramètres!$D$16))+MIN(G51,MIN(N($I51)*Paramètres!$C$17,Paramètres!$D$17))+MIN(H51,MIN(N($I51)*Paramètres!$C$18,Paramètres!$D$18))</f>
        <v>122134</v>
      </c>
      <c r="M51" s="11">
        <f>MIN(N($I51),Paramètres!$C$7)*Paramètres!$C$6</f>
        <v>25924.525000000001</v>
      </c>
      <c r="N51" s="11">
        <f>MIN(M51,E51*Paramètres!$C$8)</f>
        <v>25924.525000000001</v>
      </c>
      <c r="O51" s="11">
        <f>E51*IF(K51="Cadre supérieur",Paramètres!$C$10,Paramètres!$C$9)</f>
        <v>69844.2</v>
      </c>
      <c r="P51" s="11">
        <f t="shared" si="5"/>
        <v>253400</v>
      </c>
      <c r="Q51" s="11">
        <f>SUMPRODUCT((P51&gt;Paramètres!$B$21:$B$27)*(P51-Paramètres!$B$21:$B$27)*Paramètres!$E$21:$E$27)</f>
        <v>40280</v>
      </c>
      <c r="R51" s="11">
        <f>Q51*INDEX(Paramètres!$C$31:$C$38,MIN(MAX(INT(N(J51)),0),7)+1)</f>
        <v>0</v>
      </c>
      <c r="S51" s="14">
        <f t="shared" si="6"/>
        <v>40280</v>
      </c>
      <c r="T51" s="11">
        <f>ROUND(N($I51)*Paramètres!$C$13,0)</f>
        <v>14141</v>
      </c>
      <c r="U51" s="11">
        <f>ROUND(MAX(0,N($I51)-(Q51-R51)-M51)*Paramètres!$C$12,0)</f>
        <v>4052</v>
      </c>
      <c r="V51" s="14">
        <f t="shared" si="7"/>
        <v>401098</v>
      </c>
    </row>
    <row r="52" spans="2:22" ht="17.25" customHeight="1" x14ac:dyDescent="0.35">
      <c r="B52" s="7">
        <v>52</v>
      </c>
      <c r="C52" s="8" t="s">
        <v>78</v>
      </c>
      <c r="D52" s="9">
        <v>45778</v>
      </c>
      <c r="E52" s="33">
        <f t="shared" si="4"/>
        <v>149495</v>
      </c>
      <c r="F52" s="36">
        <f>MIN(ROUNDDOWN(N($I52)*Paramètres!$C$16,0),Paramètres!$D$16)</f>
        <v>42712</v>
      </c>
      <c r="G52" s="36">
        <f>MIN(ROUNDDOWN(N($I52)*Paramètres!$C$17,0),Paramètres!$D$17)</f>
        <v>10678</v>
      </c>
      <c r="H52" s="36">
        <f>MIN(ROUNDDOWN(N($I52)*Paramètres!$C$18,0),Paramètres!$D$18)</f>
        <v>10678</v>
      </c>
      <c r="I52" s="35">
        <v>213563</v>
      </c>
      <c r="J52" s="12">
        <v>0</v>
      </c>
      <c r="K52" s="13" t="str">
        <f>IF(E52&lt;Paramètres!$C$11,"Cadre inférieur","Cadre supérieur")</f>
        <v>Cadre inférieur</v>
      </c>
      <c r="L52" s="11">
        <f>MIN(F52,MIN(N($I52)*Paramètres!$C$16,Paramètres!$D$16))+MIN(G52,MIN(N($I52)*Paramètres!$C$17,Paramètres!$D$17))+MIN(H52,MIN(N($I52)*Paramètres!$C$18,Paramètres!$D$18))</f>
        <v>64068</v>
      </c>
      <c r="M52" s="11">
        <f>MIN(N($I52),Paramètres!$C$7)*Paramètres!$C$6</f>
        <v>11745.965</v>
      </c>
      <c r="N52" s="11">
        <f>MIN(M52,E52*Paramètres!$C$8)</f>
        <v>11745.965</v>
      </c>
      <c r="O52" s="11">
        <f>E52*IF(K52="Cadre supérieur",Paramètres!$C$10,Paramètres!$C$9)</f>
        <v>37373.75</v>
      </c>
      <c r="P52" s="11">
        <f t="shared" si="5"/>
        <v>100300</v>
      </c>
      <c r="Q52" s="11">
        <f>SUMPRODUCT((P52&gt;Paramètres!$B$21:$B$27)*(P52-Paramètres!$B$21:$B$27)*Paramètres!$E$21:$E$27)</f>
        <v>9777.1</v>
      </c>
      <c r="R52" s="11">
        <f>Q52*INDEX(Paramètres!$C$31:$C$38,MIN(MAX(INT(N(J52)),0),7)+1)</f>
        <v>0</v>
      </c>
      <c r="S52" s="14">
        <f t="shared" si="6"/>
        <v>9777</v>
      </c>
      <c r="T52" s="11">
        <f>ROUND(N($I52)*Paramètres!$C$13,0)</f>
        <v>6407</v>
      </c>
      <c r="U52" s="11">
        <f>ROUND(MAX(0,N($I52)-(Q52-R52)-M52)*Paramètres!$C$12,0)</f>
        <v>1920</v>
      </c>
      <c r="V52" s="14">
        <f t="shared" si="7"/>
        <v>190120</v>
      </c>
    </row>
    <row r="53" spans="2:22" ht="17.25" customHeight="1" x14ac:dyDescent="0.35">
      <c r="B53" s="7">
        <v>53</v>
      </c>
      <c r="C53" s="8" t="s">
        <v>79</v>
      </c>
      <c r="D53" s="9">
        <v>45778</v>
      </c>
      <c r="E53" s="33">
        <f t="shared" si="4"/>
        <v>149495</v>
      </c>
      <c r="F53" s="36">
        <f>MIN(ROUNDDOWN(N($I53)*Paramètres!$C$16,0),Paramètres!$D$16)</f>
        <v>42712</v>
      </c>
      <c r="G53" s="36">
        <f>MIN(ROUNDDOWN(N($I53)*Paramètres!$C$17,0),Paramètres!$D$17)</f>
        <v>10678</v>
      </c>
      <c r="H53" s="36">
        <f>MIN(ROUNDDOWN(N($I53)*Paramètres!$C$18,0),Paramètres!$D$18)</f>
        <v>10678</v>
      </c>
      <c r="I53" s="35">
        <v>213563</v>
      </c>
      <c r="J53" s="12">
        <v>0</v>
      </c>
      <c r="K53" s="13" t="str">
        <f>IF(E53&lt;Paramètres!$C$11,"Cadre inférieur","Cadre supérieur")</f>
        <v>Cadre inférieur</v>
      </c>
      <c r="L53" s="11">
        <f>MIN(F53,MIN(N($I53)*Paramètres!$C$16,Paramètres!$D$16))+MIN(G53,MIN(N($I53)*Paramètres!$C$17,Paramètres!$D$17))+MIN(H53,MIN(N($I53)*Paramètres!$C$18,Paramètres!$D$18))</f>
        <v>64068</v>
      </c>
      <c r="M53" s="11">
        <f>MIN(N($I53),Paramètres!$C$7)*Paramètres!$C$6</f>
        <v>11745.965</v>
      </c>
      <c r="N53" s="11">
        <f>MIN(M53,E53*Paramètres!$C$8)</f>
        <v>11745.965</v>
      </c>
      <c r="O53" s="11">
        <f>E53*IF(K53="Cadre supérieur",Paramètres!$C$10,Paramètres!$C$9)</f>
        <v>37373.75</v>
      </c>
      <c r="P53" s="11">
        <f t="shared" si="5"/>
        <v>100300</v>
      </c>
      <c r="Q53" s="11">
        <f>SUMPRODUCT((P53&gt;Paramètres!$B$21:$B$27)*(P53-Paramètres!$B$21:$B$27)*Paramètres!$E$21:$E$27)</f>
        <v>9777.1</v>
      </c>
      <c r="R53" s="11">
        <f>Q53*INDEX(Paramètres!$C$31:$C$38,MIN(MAX(INT(N(J53)),0),7)+1)</f>
        <v>0</v>
      </c>
      <c r="S53" s="14">
        <f t="shared" si="6"/>
        <v>9777</v>
      </c>
      <c r="T53" s="11">
        <f>ROUND(N($I53)*Paramètres!$C$13,0)</f>
        <v>6407</v>
      </c>
      <c r="U53" s="11">
        <f>ROUND(MAX(0,N($I53)-(Q53-R53)-M53)*Paramètres!$C$12,0)</f>
        <v>1920</v>
      </c>
      <c r="V53" s="14">
        <f t="shared" si="7"/>
        <v>190120</v>
      </c>
    </row>
    <row r="54" spans="2:22" ht="17.25" customHeight="1" x14ac:dyDescent="0.35">
      <c r="B54" s="7">
        <v>55</v>
      </c>
      <c r="C54" s="8" t="s">
        <v>81</v>
      </c>
      <c r="D54" s="9">
        <v>45778</v>
      </c>
      <c r="E54" s="33">
        <f t="shared" si="4"/>
        <v>149497</v>
      </c>
      <c r="F54" s="36">
        <f>MIN(ROUNDDOWN(N($I54)*Paramètres!$C$16,0),Paramètres!$D$16)</f>
        <v>42713</v>
      </c>
      <c r="G54" s="36">
        <f>MIN(ROUNDDOWN(N($I54)*Paramètres!$C$17,0),Paramètres!$D$17)</f>
        <v>10678</v>
      </c>
      <c r="H54" s="36">
        <f>MIN(ROUNDDOWN(N($I54)*Paramètres!$C$18,0),Paramètres!$D$18)</f>
        <v>10678</v>
      </c>
      <c r="I54" s="35">
        <v>213566</v>
      </c>
      <c r="J54" s="12">
        <v>0</v>
      </c>
      <c r="K54" s="13" t="str">
        <f>IF(E54&lt;Paramètres!$C$11,"Cadre inférieur","Cadre supérieur")</f>
        <v>Cadre inférieur</v>
      </c>
      <c r="L54" s="11">
        <f>MIN(F54,MIN(N($I54)*Paramètres!$C$16,Paramètres!$D$16))+MIN(G54,MIN(N($I54)*Paramètres!$C$17,Paramètres!$D$17))+MIN(H54,MIN(N($I54)*Paramètres!$C$18,Paramètres!$D$18))</f>
        <v>64069</v>
      </c>
      <c r="M54" s="11">
        <f>MIN(N($I54),Paramètres!$C$7)*Paramètres!$C$6</f>
        <v>11746.13</v>
      </c>
      <c r="N54" s="11">
        <f>MIN(M54,E54*Paramètres!$C$8)</f>
        <v>11746.13</v>
      </c>
      <c r="O54" s="11">
        <f>E54*IF(K54="Cadre supérieur",Paramètres!$C$10,Paramètres!$C$9)</f>
        <v>37374.25</v>
      </c>
      <c r="P54" s="11">
        <f t="shared" si="5"/>
        <v>100300</v>
      </c>
      <c r="Q54" s="11">
        <f>SUMPRODUCT((P54&gt;Paramètres!$B$21:$B$27)*(P54-Paramètres!$B$21:$B$27)*Paramètres!$E$21:$E$27)</f>
        <v>9777.1</v>
      </c>
      <c r="R54" s="11">
        <f>Q54*INDEX(Paramètres!$C$31:$C$38,MIN(MAX(INT(N(J54)),0),7)+1)</f>
        <v>0</v>
      </c>
      <c r="S54" s="14">
        <f t="shared" si="6"/>
        <v>9777</v>
      </c>
      <c r="T54" s="11">
        <f>ROUND(N($I54)*Paramètres!$C$13,0)</f>
        <v>6407</v>
      </c>
      <c r="U54" s="11">
        <f>ROUND(MAX(0,N($I54)-(Q54-R54)-M54)*Paramètres!$C$12,0)</f>
        <v>1920</v>
      </c>
      <c r="V54" s="14">
        <f t="shared" si="7"/>
        <v>190123</v>
      </c>
    </row>
    <row r="55" spans="2:22" ht="17.25" customHeight="1" x14ac:dyDescent="0.35">
      <c r="B55" s="7">
        <v>56</v>
      </c>
      <c r="C55" s="8" t="s">
        <v>82</v>
      </c>
      <c r="D55" s="9">
        <v>46235</v>
      </c>
      <c r="E55" s="33">
        <f t="shared" si="4"/>
        <v>124172</v>
      </c>
      <c r="F55" s="36">
        <f>MIN(ROUNDDOWN(N($I55)*Paramètres!$C$16,0),Paramètres!$D$16)</f>
        <v>35477</v>
      </c>
      <c r="G55" s="36">
        <f>MIN(ROUNDDOWN(N($I55)*Paramètres!$C$17,0),Paramètres!$D$17)</f>
        <v>8869</v>
      </c>
      <c r="H55" s="36">
        <f>MIN(ROUNDDOWN(N($I55)*Paramètres!$C$18,0),Paramètres!$D$18)</f>
        <v>8869</v>
      </c>
      <c r="I55" s="35">
        <v>177387</v>
      </c>
      <c r="J55" s="12">
        <v>0</v>
      </c>
      <c r="K55" s="13" t="str">
        <f>IF(E55&lt;Paramètres!$C$11,"Cadre inférieur","Cadre supérieur")</f>
        <v>Cadre inférieur</v>
      </c>
      <c r="L55" s="11">
        <f>MIN(F55,MIN(N($I55)*Paramètres!$C$16,Paramètres!$D$16))+MIN(G55,MIN(N($I55)*Paramètres!$C$17,Paramètres!$D$17))+MIN(H55,MIN(N($I55)*Paramètres!$C$18,Paramètres!$D$18))</f>
        <v>53215</v>
      </c>
      <c r="M55" s="11">
        <f>MIN(N($I55),Paramètres!$C$7)*Paramètres!$C$6</f>
        <v>9756.2849999999999</v>
      </c>
      <c r="N55" s="11">
        <f>MIN(M55,E55*Paramètres!$C$8)</f>
        <v>9756.2849999999999</v>
      </c>
      <c r="O55" s="11">
        <f>E55*IF(K55="Cadre supérieur",Paramètres!$C$10,Paramètres!$C$9)</f>
        <v>31043</v>
      </c>
      <c r="P55" s="11">
        <f t="shared" si="5"/>
        <v>83300</v>
      </c>
      <c r="Q55" s="11">
        <f>SUMPRODUCT((P55&gt;Paramètres!$B$21:$B$27)*(P55-Paramètres!$B$21:$B$27)*Paramètres!$E$21:$E$27)</f>
        <v>7108.1</v>
      </c>
      <c r="R55" s="11">
        <f>Q55*INDEX(Paramètres!$C$31:$C$38,MIN(MAX(INT(N(J55)),0),7)+1)</f>
        <v>0</v>
      </c>
      <c r="S55" s="14">
        <f t="shared" si="6"/>
        <v>7108</v>
      </c>
      <c r="T55" s="11">
        <f>ROUND(N($I55)*Paramètres!$C$13,0)</f>
        <v>5322</v>
      </c>
      <c r="U55" s="11">
        <f>ROUND(MAX(0,N($I55)-(Q55-R55)-M55)*Paramètres!$C$12,0)</f>
        <v>1605</v>
      </c>
      <c r="V55" s="14">
        <f t="shared" si="7"/>
        <v>158918</v>
      </c>
    </row>
    <row r="56" spans="2:22" ht="17.25" customHeight="1" x14ac:dyDescent="0.35">
      <c r="B56" s="7">
        <v>57</v>
      </c>
      <c r="C56" s="8" t="s">
        <v>83</v>
      </c>
      <c r="D56" s="9">
        <v>46175</v>
      </c>
      <c r="E56" s="33">
        <f t="shared" si="4"/>
        <v>149497</v>
      </c>
      <c r="F56" s="36">
        <f>MIN(ROUNDDOWN(N($I56)*Paramètres!$C$16,0),Paramètres!$D$16)</f>
        <v>42713</v>
      </c>
      <c r="G56" s="36">
        <f>MIN(ROUNDDOWN(N($I56)*Paramètres!$C$17,0),Paramètres!$D$17)</f>
        <v>10678</v>
      </c>
      <c r="H56" s="36">
        <f>MIN(ROUNDDOWN(N($I56)*Paramètres!$C$18,0),Paramètres!$D$18)</f>
        <v>10678</v>
      </c>
      <c r="I56" s="35">
        <v>213566</v>
      </c>
      <c r="J56" s="12">
        <v>0</v>
      </c>
      <c r="K56" s="13" t="str">
        <f>IF(E56&lt;Paramètres!$C$11,"Cadre inférieur","Cadre supérieur")</f>
        <v>Cadre inférieur</v>
      </c>
      <c r="L56" s="11">
        <f>MIN(F56,MIN(N($I56)*Paramètres!$C$16,Paramètres!$D$16))+MIN(G56,MIN(N($I56)*Paramètres!$C$17,Paramètres!$D$17))+MIN(H56,MIN(N($I56)*Paramètres!$C$18,Paramètres!$D$18))</f>
        <v>64069</v>
      </c>
      <c r="M56" s="11">
        <f>MIN(N($I56),Paramètres!$C$7)*Paramètres!$C$6</f>
        <v>11746.13</v>
      </c>
      <c r="N56" s="11">
        <f>MIN(M56,E56*Paramètres!$C$8)</f>
        <v>11746.13</v>
      </c>
      <c r="O56" s="11">
        <f>E56*IF(K56="Cadre supérieur",Paramètres!$C$10,Paramètres!$C$9)</f>
        <v>37374.25</v>
      </c>
      <c r="P56" s="11">
        <f t="shared" si="5"/>
        <v>100300</v>
      </c>
      <c r="Q56" s="11">
        <f>SUMPRODUCT((P56&gt;Paramètres!$B$21:$B$27)*(P56-Paramètres!$B$21:$B$27)*Paramètres!$E$21:$E$27)</f>
        <v>9777.1</v>
      </c>
      <c r="R56" s="11">
        <f>Q56*INDEX(Paramètres!$C$31:$C$38,MIN(MAX(INT(N(J56)),0),7)+1)</f>
        <v>0</v>
      </c>
      <c r="S56" s="14">
        <f t="shared" si="6"/>
        <v>9777</v>
      </c>
      <c r="T56" s="11">
        <f>ROUND(N($I56)*Paramètres!$C$13,0)</f>
        <v>6407</v>
      </c>
      <c r="U56" s="11">
        <f>ROUND(MAX(0,N($I56)-(Q56-R56)-M56)*Paramètres!$C$12,0)</f>
        <v>1920</v>
      </c>
      <c r="V56" s="14">
        <f t="shared" si="7"/>
        <v>190123</v>
      </c>
    </row>
    <row r="57" spans="2:22" ht="17.25" customHeight="1" x14ac:dyDescent="0.35">
      <c r="B57" s="7">
        <v>58</v>
      </c>
      <c r="C57" s="8" t="s">
        <v>84</v>
      </c>
      <c r="D57" s="9">
        <v>45901</v>
      </c>
      <c r="E57" s="33">
        <f t="shared" si="4"/>
        <v>149497</v>
      </c>
      <c r="F57" s="36">
        <f>MIN(ROUNDDOWN(N($I57)*Paramètres!$C$16,0),Paramètres!$D$16)</f>
        <v>42713</v>
      </c>
      <c r="G57" s="36">
        <f>MIN(ROUNDDOWN(N($I57)*Paramètres!$C$17,0),Paramètres!$D$17)</f>
        <v>10678</v>
      </c>
      <c r="H57" s="36">
        <f>MIN(ROUNDDOWN(N($I57)*Paramètres!$C$18,0),Paramètres!$D$18)</f>
        <v>10678</v>
      </c>
      <c r="I57" s="35">
        <v>213566</v>
      </c>
      <c r="J57" s="12">
        <v>0</v>
      </c>
      <c r="K57" s="13" t="str">
        <f>IF(E57&lt;Paramètres!$C$11,"Cadre inférieur","Cadre supérieur")</f>
        <v>Cadre inférieur</v>
      </c>
      <c r="L57" s="11">
        <f>MIN(F57,MIN(N($I57)*Paramètres!$C$16,Paramètres!$D$16))+MIN(G57,MIN(N($I57)*Paramètres!$C$17,Paramètres!$D$17))+MIN(H57,MIN(N($I57)*Paramètres!$C$18,Paramètres!$D$18))</f>
        <v>64069</v>
      </c>
      <c r="M57" s="11">
        <f>MIN(N($I57),Paramètres!$C$7)*Paramètres!$C$6</f>
        <v>11746.13</v>
      </c>
      <c r="N57" s="11">
        <f>MIN(M57,E57*Paramètres!$C$8)</f>
        <v>11746.13</v>
      </c>
      <c r="O57" s="11">
        <f>E57*IF(K57="Cadre supérieur",Paramètres!$C$10,Paramètres!$C$9)</f>
        <v>37374.25</v>
      </c>
      <c r="P57" s="11">
        <f t="shared" si="5"/>
        <v>100300</v>
      </c>
      <c r="Q57" s="11">
        <f>SUMPRODUCT((P57&gt;Paramètres!$B$21:$B$27)*(P57-Paramètres!$B$21:$B$27)*Paramètres!$E$21:$E$27)</f>
        <v>9777.1</v>
      </c>
      <c r="R57" s="11">
        <f>Q57*INDEX(Paramètres!$C$31:$C$38,MIN(MAX(INT(N(J57)),0),7)+1)</f>
        <v>0</v>
      </c>
      <c r="S57" s="14">
        <f t="shared" si="6"/>
        <v>9777</v>
      </c>
      <c r="T57" s="11">
        <f>ROUND(N($I57)*Paramètres!$C$13,0)</f>
        <v>6407</v>
      </c>
      <c r="U57" s="11">
        <f>ROUND(MAX(0,N($I57)-(Q57-R57)-M57)*Paramètres!$C$12,0)</f>
        <v>1920</v>
      </c>
      <c r="V57" s="14">
        <f t="shared" si="7"/>
        <v>190123</v>
      </c>
    </row>
    <row r="58" spans="2:22" ht="17.25" customHeight="1" x14ac:dyDescent="0.35">
      <c r="B58" s="7">
        <v>59</v>
      </c>
      <c r="C58" s="8" t="s">
        <v>85</v>
      </c>
      <c r="D58" s="9">
        <v>45802</v>
      </c>
      <c r="E58" s="33">
        <f t="shared" si="4"/>
        <v>124172</v>
      </c>
      <c r="F58" s="36">
        <f>MIN(ROUNDDOWN(N($I58)*Paramètres!$C$16,0),Paramètres!$D$16)</f>
        <v>35477</v>
      </c>
      <c r="G58" s="36">
        <f>MIN(ROUNDDOWN(N($I58)*Paramètres!$C$17,0),Paramètres!$D$17)</f>
        <v>8869</v>
      </c>
      <c r="H58" s="36">
        <f>MIN(ROUNDDOWN(N($I58)*Paramètres!$C$18,0),Paramètres!$D$18)</f>
        <v>8869</v>
      </c>
      <c r="I58" s="35">
        <v>177387</v>
      </c>
      <c r="J58" s="12">
        <v>0</v>
      </c>
      <c r="K58" s="13" t="str">
        <f>IF(E58&lt;Paramètres!$C$11,"Cadre inférieur","Cadre supérieur")</f>
        <v>Cadre inférieur</v>
      </c>
      <c r="L58" s="11">
        <f>MIN(F58,MIN(N($I58)*Paramètres!$C$16,Paramètres!$D$16))+MIN(G58,MIN(N($I58)*Paramètres!$C$17,Paramètres!$D$17))+MIN(H58,MIN(N($I58)*Paramètres!$C$18,Paramètres!$D$18))</f>
        <v>53215</v>
      </c>
      <c r="M58" s="11">
        <f>MIN(N($I58),Paramètres!$C$7)*Paramètres!$C$6</f>
        <v>9756.2849999999999</v>
      </c>
      <c r="N58" s="11">
        <f>MIN(M58,E58*Paramètres!$C$8)</f>
        <v>9756.2849999999999</v>
      </c>
      <c r="O58" s="11">
        <f>E58*IF(K58="Cadre supérieur",Paramètres!$C$10,Paramètres!$C$9)</f>
        <v>31043</v>
      </c>
      <c r="P58" s="11">
        <f t="shared" si="5"/>
        <v>83300</v>
      </c>
      <c r="Q58" s="11">
        <f>SUMPRODUCT((P58&gt;Paramètres!$B$21:$B$27)*(P58-Paramètres!$B$21:$B$27)*Paramètres!$E$21:$E$27)</f>
        <v>7108.1</v>
      </c>
      <c r="R58" s="11">
        <f>Q58*INDEX(Paramètres!$C$31:$C$38,MIN(MAX(INT(N(J58)),0),7)+1)</f>
        <v>0</v>
      </c>
      <c r="S58" s="14">
        <f t="shared" si="6"/>
        <v>7108</v>
      </c>
      <c r="T58" s="11">
        <f>ROUND(N($I58)*Paramètres!$C$13,0)</f>
        <v>5322</v>
      </c>
      <c r="U58" s="11">
        <f>ROUND(MAX(0,N($I58)-(Q58-R58)-M58)*Paramètres!$C$12,0)</f>
        <v>1605</v>
      </c>
      <c r="V58" s="14">
        <f t="shared" si="7"/>
        <v>158918</v>
      </c>
    </row>
    <row r="59" spans="2:22" ht="17.25" customHeight="1" x14ac:dyDescent="0.35">
      <c r="B59" s="7">
        <v>60</v>
      </c>
      <c r="C59" s="8" t="s">
        <v>85</v>
      </c>
      <c r="D59" s="9"/>
      <c r="E59" s="33">
        <f t="shared" si="4"/>
        <v>75880</v>
      </c>
      <c r="F59" s="36">
        <f>MIN(ROUNDDOWN(N($I59)*Paramètres!$C$16,0),Paramètres!$D$16)</f>
        <v>21679</v>
      </c>
      <c r="G59" s="36">
        <f>MIN(ROUNDDOWN(N($I59)*Paramètres!$C$17,0),Paramètres!$D$17)</f>
        <v>5419</v>
      </c>
      <c r="H59" s="36">
        <f>MIN(ROUNDDOWN(N($I59)*Paramètres!$C$18,0),Paramètres!$D$18)</f>
        <v>5419</v>
      </c>
      <c r="I59" s="35">
        <v>108397</v>
      </c>
      <c r="J59" s="12">
        <v>0</v>
      </c>
      <c r="K59" s="13" t="str">
        <f>IF(E59&lt;Paramètres!$C$11,"Cadre inférieur","Cadre supérieur")</f>
        <v>Cadre inférieur</v>
      </c>
      <c r="L59" s="11">
        <f>MIN(F59,MIN(N($I59)*Paramètres!$C$16,Paramètres!$D$16))+MIN(G59,MIN(N($I59)*Paramètres!$C$17,Paramètres!$D$17))+MIN(H59,MIN(N($I59)*Paramètres!$C$18,Paramètres!$D$18))</f>
        <v>32517</v>
      </c>
      <c r="M59" s="11">
        <f>MIN(N($I59),Paramètres!$C$7)*Paramètres!$C$6</f>
        <v>5961.835</v>
      </c>
      <c r="N59" s="11">
        <f>MIN(M59,E59*Paramètres!$C$8)</f>
        <v>5961.835</v>
      </c>
      <c r="O59" s="11">
        <f>E59*IF(K59="Cadre supérieur",Paramètres!$C$10,Paramètres!$C$9)</f>
        <v>18970</v>
      </c>
      <c r="P59" s="11">
        <f t="shared" si="5"/>
        <v>50900</v>
      </c>
      <c r="Q59" s="11">
        <f>SUMPRODUCT((P59&gt;Paramètres!$B$21:$B$27)*(P59-Paramètres!$B$21:$B$27)*Paramètres!$E$21:$E$27)</f>
        <v>2545.1</v>
      </c>
      <c r="R59" s="11">
        <f>Q59*INDEX(Paramètres!$C$31:$C$38,MIN(MAX(INT(N(J59)),0),7)+1)</f>
        <v>0</v>
      </c>
      <c r="S59" s="14">
        <f t="shared" si="6"/>
        <v>2545</v>
      </c>
      <c r="T59" s="11">
        <f>ROUND(N($I59)*Paramètres!$C$13,0)</f>
        <v>3252</v>
      </c>
      <c r="U59" s="11">
        <f>ROUND(MAX(0,N($I59)-(Q59-R59)-M59)*Paramètres!$C$12,0)</f>
        <v>999</v>
      </c>
      <c r="V59" s="14">
        <f t="shared" si="7"/>
        <v>98891</v>
      </c>
    </row>
    <row r="60" spans="2:22" ht="17.25" customHeight="1" x14ac:dyDescent="0.35">
      <c r="B60" s="7">
        <v>62</v>
      </c>
      <c r="C60" s="8" t="s">
        <v>87</v>
      </c>
      <c r="D60" s="9">
        <v>45930</v>
      </c>
      <c r="E60" s="33">
        <f t="shared" si="4"/>
        <v>349221</v>
      </c>
      <c r="F60" s="36">
        <f>MIN(ROUNDDOWN(N($I60)*Paramètres!$C$16,0),Paramètres!$D$16)</f>
        <v>75000</v>
      </c>
      <c r="G60" s="36">
        <f>MIN(ROUNDDOWN(N($I60)*Paramètres!$C$17,0),Paramètres!$D$17)</f>
        <v>23567</v>
      </c>
      <c r="H60" s="36">
        <f>MIN(ROUNDDOWN(N($I60)*Paramètres!$C$18,0),Paramètres!$D$18)</f>
        <v>23567</v>
      </c>
      <c r="I60" s="35">
        <v>471355</v>
      </c>
      <c r="J60" s="12">
        <v>0</v>
      </c>
      <c r="K60" s="13" t="str">
        <f>IF(E60&lt;Paramètres!$C$11,"Cadre inférieur","Cadre supérieur")</f>
        <v>Cadre supérieur</v>
      </c>
      <c r="L60" s="11">
        <f>MIN(F60,MIN(N($I60)*Paramètres!$C$16,Paramètres!$D$16))+MIN(G60,MIN(N($I60)*Paramètres!$C$17,Paramètres!$D$17))+MIN(H60,MIN(N($I60)*Paramètres!$C$18,Paramètres!$D$18))</f>
        <v>122134</v>
      </c>
      <c r="M60" s="11">
        <f>MIN(N($I60),Paramètres!$C$7)*Paramètres!$C$6</f>
        <v>25924.525000000001</v>
      </c>
      <c r="N60" s="11">
        <f>MIN(M60,E60*Paramètres!$C$8)</f>
        <v>25924.525000000001</v>
      </c>
      <c r="O60" s="11">
        <f>E60*IF(K60="Cadre supérieur",Paramètres!$C$10,Paramètres!$C$9)</f>
        <v>69844.2</v>
      </c>
      <c r="P60" s="11">
        <f t="shared" si="5"/>
        <v>253400</v>
      </c>
      <c r="Q60" s="11">
        <f>SUMPRODUCT((P60&gt;Paramètres!$B$21:$B$27)*(P60-Paramètres!$B$21:$B$27)*Paramètres!$E$21:$E$27)</f>
        <v>40280</v>
      </c>
      <c r="R60" s="11">
        <f>Q60*INDEX(Paramètres!$C$31:$C$38,MIN(MAX(INT(N(J60)),0),7)+1)</f>
        <v>0</v>
      </c>
      <c r="S60" s="14">
        <f t="shared" si="6"/>
        <v>40280</v>
      </c>
      <c r="T60" s="11">
        <f>ROUND(N($I60)*Paramètres!$C$13,0)</f>
        <v>14141</v>
      </c>
      <c r="U60" s="11">
        <f>ROUND(MAX(0,N($I60)-(Q60-R60)-M60)*Paramètres!$C$12,0)</f>
        <v>4052</v>
      </c>
      <c r="V60" s="14">
        <f t="shared" si="7"/>
        <v>401098</v>
      </c>
    </row>
    <row r="61" spans="2:22" ht="17.25" customHeight="1" x14ac:dyDescent="0.35">
      <c r="B61" s="7">
        <v>63</v>
      </c>
      <c r="C61" s="8" t="s">
        <v>88</v>
      </c>
      <c r="D61" s="9">
        <v>45778</v>
      </c>
      <c r="E61" s="33">
        <f t="shared" si="4"/>
        <v>162341</v>
      </c>
      <c r="F61" s="36">
        <f>MIN(ROUNDDOWN(N($I61)*Paramètres!$C$16,0),Paramètres!$D$16)</f>
        <v>46382</v>
      </c>
      <c r="G61" s="36">
        <f>MIN(ROUNDDOWN(N($I61)*Paramètres!$C$17,0),Paramètres!$D$17)</f>
        <v>11595</v>
      </c>
      <c r="H61" s="36">
        <f>MIN(ROUNDDOWN(N($I61)*Paramètres!$C$18,0),Paramètres!$D$18)</f>
        <v>11595</v>
      </c>
      <c r="I61" s="35">
        <v>231913</v>
      </c>
      <c r="J61" s="12">
        <v>0</v>
      </c>
      <c r="K61" s="13" t="str">
        <f>IF(E61&lt;Paramètres!$C$11,"Cadre inférieur","Cadre supérieur")</f>
        <v>Cadre supérieur</v>
      </c>
      <c r="L61" s="11">
        <f>MIN(F61,MIN(N($I61)*Paramètres!$C$16,Paramètres!$D$16))+MIN(G61,MIN(N($I61)*Paramètres!$C$17,Paramètres!$D$17))+MIN(H61,MIN(N($I61)*Paramètres!$C$18,Paramètres!$D$18))</f>
        <v>69572</v>
      </c>
      <c r="M61" s="11">
        <f>MIN(N($I61),Paramètres!$C$7)*Paramètres!$C$6</f>
        <v>12755.215</v>
      </c>
      <c r="N61" s="11">
        <f>MIN(M61,E61*Paramètres!$C$8)</f>
        <v>12755.215</v>
      </c>
      <c r="O61" s="11">
        <f>E61*IF(K61="Cadre supérieur",Paramètres!$C$10,Paramètres!$C$9)</f>
        <v>32468.2</v>
      </c>
      <c r="P61" s="11">
        <f t="shared" si="5"/>
        <v>117100</v>
      </c>
      <c r="Q61" s="11">
        <f>SUMPRODUCT((P61&gt;Paramètres!$B$21:$B$27)*(P61-Paramètres!$B$21:$B$27)*Paramètres!$E$21:$E$27)</f>
        <v>12414.7</v>
      </c>
      <c r="R61" s="11">
        <f>Q61*INDEX(Paramètres!$C$31:$C$38,MIN(MAX(INT(N(J61)),0),7)+1)</f>
        <v>0</v>
      </c>
      <c r="S61" s="14">
        <f t="shared" si="6"/>
        <v>12415</v>
      </c>
      <c r="T61" s="11">
        <f>ROUND(N($I61)*Paramètres!$C$13,0)</f>
        <v>6957</v>
      </c>
      <c r="U61" s="11">
        <f>ROUND(MAX(0,N($I61)-(Q61-R61)-M61)*Paramètres!$C$12,0)</f>
        <v>2067</v>
      </c>
      <c r="V61" s="14">
        <f t="shared" si="7"/>
        <v>204676</v>
      </c>
    </row>
    <row r="62" spans="2:22" ht="17.25" customHeight="1" x14ac:dyDescent="0.35">
      <c r="B62" s="7">
        <v>64</v>
      </c>
      <c r="C62" s="8" t="s">
        <v>89</v>
      </c>
      <c r="D62" s="9">
        <v>45778</v>
      </c>
      <c r="E62" s="33">
        <f t="shared" si="4"/>
        <v>149497</v>
      </c>
      <c r="F62" s="36">
        <f>MIN(ROUNDDOWN(N($I62)*Paramètres!$C$16,0),Paramètres!$D$16)</f>
        <v>42713</v>
      </c>
      <c r="G62" s="36">
        <f>MIN(ROUNDDOWN(N($I62)*Paramètres!$C$17,0),Paramètres!$D$17)</f>
        <v>10678</v>
      </c>
      <c r="H62" s="36">
        <f>MIN(ROUNDDOWN(N($I62)*Paramètres!$C$18,0),Paramètres!$D$18)</f>
        <v>10678</v>
      </c>
      <c r="I62" s="35">
        <v>213566</v>
      </c>
      <c r="J62" s="12">
        <v>0</v>
      </c>
      <c r="K62" s="13" t="str">
        <f>IF(E62&lt;Paramètres!$C$11,"Cadre inférieur","Cadre supérieur")</f>
        <v>Cadre inférieur</v>
      </c>
      <c r="L62" s="11">
        <f>MIN(F62,MIN(N($I62)*Paramètres!$C$16,Paramètres!$D$16))+MIN(G62,MIN(N($I62)*Paramètres!$C$17,Paramètres!$D$17))+MIN(H62,MIN(N($I62)*Paramètres!$C$18,Paramètres!$D$18))</f>
        <v>64069</v>
      </c>
      <c r="M62" s="11">
        <f>MIN(N($I62),Paramètres!$C$7)*Paramètres!$C$6</f>
        <v>11746.13</v>
      </c>
      <c r="N62" s="11">
        <f>MIN(M62,E62*Paramètres!$C$8)</f>
        <v>11746.13</v>
      </c>
      <c r="O62" s="11">
        <f>E62*IF(K62="Cadre supérieur",Paramètres!$C$10,Paramètres!$C$9)</f>
        <v>37374.25</v>
      </c>
      <c r="P62" s="11">
        <f t="shared" si="5"/>
        <v>100300</v>
      </c>
      <c r="Q62" s="11">
        <f>SUMPRODUCT((P62&gt;Paramètres!$B$21:$B$27)*(P62-Paramètres!$B$21:$B$27)*Paramètres!$E$21:$E$27)</f>
        <v>9777.1</v>
      </c>
      <c r="R62" s="11">
        <f>Q62*INDEX(Paramètres!$C$31:$C$38,MIN(MAX(INT(N(J62)),0),7)+1)</f>
        <v>0</v>
      </c>
      <c r="S62" s="14">
        <f t="shared" si="6"/>
        <v>9777</v>
      </c>
      <c r="T62" s="11">
        <f>ROUND(N($I62)*Paramètres!$C$13,0)</f>
        <v>6407</v>
      </c>
      <c r="U62" s="11">
        <f>ROUND(MAX(0,N($I62)-(Q62-R62)-M62)*Paramètres!$C$12,0)</f>
        <v>1920</v>
      </c>
      <c r="V62" s="14">
        <f t="shared" si="7"/>
        <v>190123</v>
      </c>
    </row>
    <row r="63" spans="2:22" ht="17.25" customHeight="1" x14ac:dyDescent="0.35">
      <c r="B63" s="7">
        <v>65</v>
      </c>
      <c r="C63" s="8" t="s">
        <v>90</v>
      </c>
      <c r="D63" s="9">
        <v>45778</v>
      </c>
      <c r="E63" s="33">
        <f t="shared" si="4"/>
        <v>149497</v>
      </c>
      <c r="F63" s="36">
        <f>MIN(ROUNDDOWN(N($I63)*Paramètres!$C$16,0),Paramètres!$D$16)</f>
        <v>42713</v>
      </c>
      <c r="G63" s="36">
        <f>MIN(ROUNDDOWN(N($I63)*Paramètres!$C$17,0),Paramètres!$D$17)</f>
        <v>10678</v>
      </c>
      <c r="H63" s="36">
        <f>MIN(ROUNDDOWN(N($I63)*Paramètres!$C$18,0),Paramètres!$D$18)</f>
        <v>10678</v>
      </c>
      <c r="I63" s="35">
        <v>213566</v>
      </c>
      <c r="J63" s="12">
        <v>0</v>
      </c>
      <c r="K63" s="13" t="str">
        <f>IF(E63&lt;Paramètres!$C$11,"Cadre inférieur","Cadre supérieur")</f>
        <v>Cadre inférieur</v>
      </c>
      <c r="L63" s="11">
        <f>MIN(F63,MIN(N($I63)*Paramètres!$C$16,Paramètres!$D$16))+MIN(G63,MIN(N($I63)*Paramètres!$C$17,Paramètres!$D$17))+MIN(H63,MIN(N($I63)*Paramètres!$C$18,Paramètres!$D$18))</f>
        <v>64069</v>
      </c>
      <c r="M63" s="11">
        <f>MIN(N($I63),Paramètres!$C$7)*Paramètres!$C$6</f>
        <v>11746.13</v>
      </c>
      <c r="N63" s="11">
        <f>MIN(M63,E63*Paramètres!$C$8)</f>
        <v>11746.13</v>
      </c>
      <c r="O63" s="11">
        <f>E63*IF(K63="Cadre supérieur",Paramètres!$C$10,Paramètres!$C$9)</f>
        <v>37374.25</v>
      </c>
      <c r="P63" s="11">
        <f t="shared" si="5"/>
        <v>100300</v>
      </c>
      <c r="Q63" s="11">
        <f>SUMPRODUCT((P63&gt;Paramètres!$B$21:$B$27)*(P63-Paramètres!$B$21:$B$27)*Paramètres!$E$21:$E$27)</f>
        <v>9777.1</v>
      </c>
      <c r="R63" s="11">
        <f>Q63*INDEX(Paramètres!$C$31:$C$38,MIN(MAX(INT(N(J63)),0),7)+1)</f>
        <v>0</v>
      </c>
      <c r="S63" s="14">
        <f t="shared" si="6"/>
        <v>9777</v>
      </c>
      <c r="T63" s="11">
        <f>ROUND(N($I63)*Paramètres!$C$13,0)</f>
        <v>6407</v>
      </c>
      <c r="U63" s="11">
        <f>ROUND(MAX(0,N($I63)-(Q63-R63)-M63)*Paramètres!$C$12,0)</f>
        <v>1920</v>
      </c>
      <c r="V63" s="14">
        <f t="shared" si="7"/>
        <v>190123</v>
      </c>
    </row>
    <row r="64" spans="2:22" ht="17.25" customHeight="1" x14ac:dyDescent="0.35">
      <c r="B64" s="7">
        <v>66</v>
      </c>
      <c r="C64" s="8" t="s">
        <v>91</v>
      </c>
      <c r="D64" s="9">
        <v>45806</v>
      </c>
      <c r="E64" s="33">
        <f t="shared" si="4"/>
        <v>95189</v>
      </c>
      <c r="F64" s="36">
        <f>MIN(ROUNDDOWN(N($I64)*Paramètres!$C$16,0),Paramètres!$D$16)</f>
        <v>27196</v>
      </c>
      <c r="G64" s="36">
        <f>MIN(ROUNDDOWN(N($I64)*Paramètres!$C$17,0),Paramètres!$D$17)</f>
        <v>6799</v>
      </c>
      <c r="H64" s="36">
        <f>MIN(ROUNDDOWN(N($I64)*Paramètres!$C$18,0),Paramètres!$D$18)</f>
        <v>6799</v>
      </c>
      <c r="I64" s="35">
        <v>135983</v>
      </c>
      <c r="J64" s="12">
        <v>0</v>
      </c>
      <c r="K64" s="13" t="str">
        <f>IF(E64&lt;Paramètres!$C$11,"Cadre inférieur","Cadre supérieur")</f>
        <v>Cadre inférieur</v>
      </c>
      <c r="L64" s="11">
        <f>MIN(F64,MIN(N($I64)*Paramètres!$C$16,Paramètres!$D$16))+MIN(G64,MIN(N($I64)*Paramètres!$C$17,Paramètres!$D$17))+MIN(H64,MIN(N($I64)*Paramètres!$C$18,Paramètres!$D$18))</f>
        <v>40794</v>
      </c>
      <c r="M64" s="11">
        <f>MIN(N($I64),Paramètres!$C$7)*Paramètres!$C$6</f>
        <v>7479.0649999999996</v>
      </c>
      <c r="N64" s="11">
        <f>MIN(M64,E64*Paramètres!$C$8)</f>
        <v>7479.0649999999996</v>
      </c>
      <c r="O64" s="11">
        <f>E64*IF(K64="Cadre supérieur",Paramètres!$C$10,Paramètres!$C$9)</f>
        <v>23797.25</v>
      </c>
      <c r="P64" s="11">
        <f t="shared" si="5"/>
        <v>63900</v>
      </c>
      <c r="Q64" s="11">
        <f>SUMPRODUCT((P64&gt;Paramètres!$B$21:$B$27)*(P64-Paramètres!$B$21:$B$27)*Paramètres!$E$21:$E$27)</f>
        <v>4352.0999999999995</v>
      </c>
      <c r="R64" s="11">
        <f>Q64*INDEX(Paramètres!$C$31:$C$38,MIN(MAX(INT(N(J64)),0),7)+1)</f>
        <v>0</v>
      </c>
      <c r="S64" s="14">
        <f t="shared" si="6"/>
        <v>4352</v>
      </c>
      <c r="T64" s="11">
        <f>ROUND(N($I64)*Paramètres!$C$13,0)</f>
        <v>4079</v>
      </c>
      <c r="U64" s="11">
        <f>ROUND(MAX(0,N($I64)-(Q64-R64)-M64)*Paramètres!$C$12,0)</f>
        <v>1242</v>
      </c>
      <c r="V64" s="14">
        <f t="shared" si="7"/>
        <v>122910</v>
      </c>
    </row>
    <row r="65" spans="2:22" ht="17.25" customHeight="1" x14ac:dyDescent="0.35">
      <c r="B65" s="7">
        <v>67</v>
      </c>
      <c r="C65" s="8" t="s">
        <v>92</v>
      </c>
      <c r="D65" s="9">
        <v>46174</v>
      </c>
      <c r="E65" s="33">
        <f t="shared" si="4"/>
        <v>149495</v>
      </c>
      <c r="F65" s="36">
        <f>MIN(ROUNDDOWN(N($I65)*Paramètres!$C$16,0),Paramètres!$D$16)</f>
        <v>42712</v>
      </c>
      <c r="G65" s="36">
        <f>MIN(ROUNDDOWN(N($I65)*Paramètres!$C$17,0),Paramètres!$D$17)</f>
        <v>10678</v>
      </c>
      <c r="H65" s="36">
        <f>MIN(ROUNDDOWN(N($I65)*Paramètres!$C$18,0),Paramètres!$D$18)</f>
        <v>10678</v>
      </c>
      <c r="I65" s="35">
        <v>213563</v>
      </c>
      <c r="J65" s="12">
        <v>0</v>
      </c>
      <c r="K65" s="13" t="str">
        <f>IF(E65&lt;Paramètres!$C$11,"Cadre inférieur","Cadre supérieur")</f>
        <v>Cadre inférieur</v>
      </c>
      <c r="L65" s="11">
        <f>MIN(F65,MIN(N($I65)*Paramètres!$C$16,Paramètres!$D$16))+MIN(G65,MIN(N($I65)*Paramètres!$C$17,Paramètres!$D$17))+MIN(H65,MIN(N($I65)*Paramètres!$C$18,Paramètres!$D$18))</f>
        <v>64068</v>
      </c>
      <c r="M65" s="11">
        <f>MIN(N($I65),Paramètres!$C$7)*Paramètres!$C$6</f>
        <v>11745.965</v>
      </c>
      <c r="N65" s="11">
        <f>MIN(M65,E65*Paramètres!$C$8)</f>
        <v>11745.965</v>
      </c>
      <c r="O65" s="11">
        <f>E65*IF(K65="Cadre supérieur",Paramètres!$C$10,Paramètres!$C$9)</f>
        <v>37373.75</v>
      </c>
      <c r="P65" s="11">
        <f t="shared" si="5"/>
        <v>100300</v>
      </c>
      <c r="Q65" s="11">
        <f>SUMPRODUCT((P65&gt;Paramètres!$B$21:$B$27)*(P65-Paramètres!$B$21:$B$27)*Paramètres!$E$21:$E$27)</f>
        <v>9777.1</v>
      </c>
      <c r="R65" s="11">
        <f>Q65*INDEX(Paramètres!$C$31:$C$38,MIN(MAX(INT(N(J65)),0),7)+1)</f>
        <v>0</v>
      </c>
      <c r="S65" s="14">
        <f t="shared" si="6"/>
        <v>9777</v>
      </c>
      <c r="T65" s="11">
        <f>ROUND(N($I65)*Paramètres!$C$13,0)</f>
        <v>6407</v>
      </c>
      <c r="U65" s="11">
        <f>ROUND(MAX(0,N($I65)-(Q65-R65)-M65)*Paramètres!$C$12,0)</f>
        <v>1920</v>
      </c>
      <c r="V65" s="14">
        <f t="shared" si="7"/>
        <v>190120</v>
      </c>
    </row>
    <row r="66" spans="2:22" ht="17.25" customHeight="1" x14ac:dyDescent="0.35">
      <c r="B66" s="7">
        <v>68</v>
      </c>
      <c r="C66" s="8" t="s">
        <v>93</v>
      </c>
      <c r="D66" s="9">
        <v>45930</v>
      </c>
      <c r="E66" s="33">
        <f t="shared" si="4"/>
        <v>115738</v>
      </c>
      <c r="F66" s="36">
        <f>MIN(ROUNDDOWN(N($I66)*Paramètres!$C$16,0),Paramètres!$D$16)</f>
        <v>33068</v>
      </c>
      <c r="G66" s="36">
        <f>MIN(ROUNDDOWN(N($I66)*Paramètres!$C$17,0),Paramètres!$D$17)</f>
        <v>8267</v>
      </c>
      <c r="H66" s="36">
        <f>MIN(ROUNDDOWN(N($I66)*Paramètres!$C$18,0),Paramètres!$D$18)</f>
        <v>8267</v>
      </c>
      <c r="I66" s="35">
        <v>165340</v>
      </c>
      <c r="J66" s="12">
        <v>0</v>
      </c>
      <c r="K66" s="13" t="str">
        <f>IF(E66&lt;Paramètres!$C$11,"Cadre inférieur","Cadre supérieur")</f>
        <v>Cadre inférieur</v>
      </c>
      <c r="L66" s="11">
        <f>MIN(F66,MIN(N($I66)*Paramètres!$C$16,Paramètres!$D$16))+MIN(G66,MIN(N($I66)*Paramètres!$C$17,Paramètres!$D$17))+MIN(H66,MIN(N($I66)*Paramètres!$C$18,Paramètres!$D$18))</f>
        <v>49602</v>
      </c>
      <c r="M66" s="11">
        <f>MIN(N($I66),Paramètres!$C$7)*Paramètres!$C$6</f>
        <v>9093.7000000000007</v>
      </c>
      <c r="N66" s="11">
        <f>MIN(M66,E66*Paramètres!$C$8)</f>
        <v>9093.7000000000007</v>
      </c>
      <c r="O66" s="11">
        <f>E66*IF(K66="Cadre supérieur",Paramètres!$C$10,Paramètres!$C$9)</f>
        <v>28934.5</v>
      </c>
      <c r="P66" s="11">
        <f t="shared" si="5"/>
        <v>77700</v>
      </c>
      <c r="Q66" s="11">
        <f>SUMPRODUCT((P66&gt;Paramètres!$B$21:$B$27)*(P66-Paramètres!$B$21:$B$27)*Paramètres!$E$21:$E$27)</f>
        <v>6270.3</v>
      </c>
      <c r="R66" s="11">
        <f>Q66*INDEX(Paramètres!$C$31:$C$38,MIN(MAX(INT(N(J66)),0),7)+1)</f>
        <v>0</v>
      </c>
      <c r="S66" s="14">
        <f t="shared" si="6"/>
        <v>6270</v>
      </c>
      <c r="T66" s="11">
        <f>ROUND(N($I66)*Paramètres!$C$13,0)</f>
        <v>4960</v>
      </c>
      <c r="U66" s="11">
        <f>ROUND(MAX(0,N($I66)-(Q66-R66)-M66)*Paramètres!$C$12,0)</f>
        <v>1500</v>
      </c>
      <c r="V66" s="14">
        <f t="shared" si="7"/>
        <v>148476</v>
      </c>
    </row>
    <row r="67" spans="2:22" ht="17.25" customHeight="1" x14ac:dyDescent="0.35">
      <c r="B67" s="7">
        <v>69</v>
      </c>
      <c r="C67" s="8" t="s">
        <v>94</v>
      </c>
      <c r="D67" s="9">
        <v>45912</v>
      </c>
      <c r="E67" s="33">
        <f t="shared" si="4"/>
        <v>149497</v>
      </c>
      <c r="F67" s="36">
        <f>MIN(ROUNDDOWN(N($I67)*Paramètres!$C$16,0),Paramètres!$D$16)</f>
        <v>42713</v>
      </c>
      <c r="G67" s="36">
        <f>MIN(ROUNDDOWN(N($I67)*Paramètres!$C$17,0),Paramètres!$D$17)</f>
        <v>10678</v>
      </c>
      <c r="H67" s="36">
        <f>MIN(ROUNDDOWN(N($I67)*Paramètres!$C$18,0),Paramètres!$D$18)</f>
        <v>10678</v>
      </c>
      <c r="I67" s="35">
        <v>213566</v>
      </c>
      <c r="J67" s="12">
        <v>0</v>
      </c>
      <c r="K67" s="13" t="str">
        <f>IF(E67&lt;Paramètres!$C$11,"Cadre inférieur","Cadre supérieur")</f>
        <v>Cadre inférieur</v>
      </c>
      <c r="L67" s="11">
        <f>MIN(F67,MIN(N($I67)*Paramètres!$C$16,Paramètres!$D$16))+MIN(G67,MIN(N($I67)*Paramètres!$C$17,Paramètres!$D$17))+MIN(H67,MIN(N($I67)*Paramètres!$C$18,Paramètres!$D$18))</f>
        <v>64069</v>
      </c>
      <c r="M67" s="11">
        <f>MIN(N($I67),Paramètres!$C$7)*Paramètres!$C$6</f>
        <v>11746.13</v>
      </c>
      <c r="N67" s="11">
        <f>MIN(M67,E67*Paramètres!$C$8)</f>
        <v>11746.13</v>
      </c>
      <c r="O67" s="11">
        <f>E67*IF(K67="Cadre supérieur",Paramètres!$C$10,Paramètres!$C$9)</f>
        <v>37374.25</v>
      </c>
      <c r="P67" s="11">
        <f t="shared" si="5"/>
        <v>100300</v>
      </c>
      <c r="Q67" s="11">
        <f>SUMPRODUCT((P67&gt;Paramètres!$B$21:$B$27)*(P67-Paramètres!$B$21:$B$27)*Paramètres!$E$21:$E$27)</f>
        <v>9777.1</v>
      </c>
      <c r="R67" s="11">
        <f>Q67*INDEX(Paramètres!$C$31:$C$38,MIN(MAX(INT(N(J67)),0),7)+1)</f>
        <v>0</v>
      </c>
      <c r="S67" s="14">
        <f t="shared" si="6"/>
        <v>9777</v>
      </c>
      <c r="T67" s="11">
        <f>ROUND(N($I67)*Paramètres!$C$13,0)</f>
        <v>6407</v>
      </c>
      <c r="U67" s="11">
        <f>ROUND(MAX(0,N($I67)-(Q67-R67)-M67)*Paramètres!$C$12,0)</f>
        <v>1920</v>
      </c>
      <c r="V67" s="14">
        <f t="shared" si="7"/>
        <v>190123</v>
      </c>
    </row>
    <row r="68" spans="2:22" ht="17.25" customHeight="1" x14ac:dyDescent="0.35">
      <c r="B68" s="7">
        <v>70</v>
      </c>
      <c r="C68" s="8" t="s">
        <v>95</v>
      </c>
      <c r="D68" s="9">
        <v>46183</v>
      </c>
      <c r="E68" s="33">
        <f t="shared" si="4"/>
        <v>124172</v>
      </c>
      <c r="F68" s="36">
        <f>MIN(ROUNDDOWN(N($I68)*Paramètres!$C$16,0),Paramètres!$D$16)</f>
        <v>35477</v>
      </c>
      <c r="G68" s="36">
        <f>MIN(ROUNDDOWN(N($I68)*Paramètres!$C$17,0),Paramètres!$D$17)</f>
        <v>8869</v>
      </c>
      <c r="H68" s="36">
        <f>MIN(ROUNDDOWN(N($I68)*Paramètres!$C$18,0),Paramètres!$D$18)</f>
        <v>8869</v>
      </c>
      <c r="I68" s="35">
        <v>177387</v>
      </c>
      <c r="J68" s="12">
        <v>0</v>
      </c>
      <c r="K68" s="13" t="str">
        <f>IF(E68&lt;Paramètres!$C$11,"Cadre inférieur","Cadre supérieur")</f>
        <v>Cadre inférieur</v>
      </c>
      <c r="L68" s="11">
        <f>MIN(F68,MIN(N($I68)*Paramètres!$C$16,Paramètres!$D$16))+MIN(G68,MIN(N($I68)*Paramètres!$C$17,Paramètres!$D$17))+MIN(H68,MIN(N($I68)*Paramètres!$C$18,Paramètres!$D$18))</f>
        <v>53215</v>
      </c>
      <c r="M68" s="11">
        <f>MIN(N($I68),Paramètres!$C$7)*Paramètres!$C$6</f>
        <v>9756.2849999999999</v>
      </c>
      <c r="N68" s="11">
        <f>MIN(M68,E68*Paramètres!$C$8)</f>
        <v>9756.2849999999999</v>
      </c>
      <c r="O68" s="11">
        <f>E68*IF(K68="Cadre supérieur",Paramètres!$C$10,Paramètres!$C$9)</f>
        <v>31043</v>
      </c>
      <c r="P68" s="11">
        <f t="shared" si="5"/>
        <v>83300</v>
      </c>
      <c r="Q68" s="11">
        <f>SUMPRODUCT((P68&gt;Paramètres!$B$21:$B$27)*(P68-Paramètres!$B$21:$B$27)*Paramètres!$E$21:$E$27)</f>
        <v>7108.1</v>
      </c>
      <c r="R68" s="11">
        <f>Q68*INDEX(Paramètres!$C$31:$C$38,MIN(MAX(INT(N(J68)),0),7)+1)</f>
        <v>0</v>
      </c>
      <c r="S68" s="14">
        <f t="shared" si="6"/>
        <v>7108</v>
      </c>
      <c r="T68" s="11">
        <f>ROUND(N($I68)*Paramètres!$C$13,0)</f>
        <v>5322</v>
      </c>
      <c r="U68" s="11">
        <f>ROUND(MAX(0,N($I68)-(Q68-R68)-M68)*Paramètres!$C$12,0)</f>
        <v>1605</v>
      </c>
      <c r="V68" s="14">
        <f t="shared" si="7"/>
        <v>158918</v>
      </c>
    </row>
    <row r="69" spans="2:22" ht="17.25" customHeight="1" x14ac:dyDescent="0.35">
      <c r="B69" s="7">
        <v>71</v>
      </c>
      <c r="C69" s="8" t="s">
        <v>96</v>
      </c>
      <c r="D69" s="20">
        <v>46023</v>
      </c>
      <c r="E69" s="33">
        <f t="shared" si="4"/>
        <v>95189</v>
      </c>
      <c r="F69" s="36">
        <f>MIN(ROUNDDOWN(N($I69)*Paramètres!$C$16,0),Paramètres!$D$16)</f>
        <v>27196</v>
      </c>
      <c r="G69" s="36">
        <f>MIN(ROUNDDOWN(N($I69)*Paramètres!$C$17,0),Paramètres!$D$17)</f>
        <v>6799</v>
      </c>
      <c r="H69" s="36">
        <f>MIN(ROUNDDOWN(N($I69)*Paramètres!$C$18,0),Paramètres!$D$18)</f>
        <v>6799</v>
      </c>
      <c r="I69" s="35">
        <v>135983</v>
      </c>
      <c r="J69" s="12">
        <v>0</v>
      </c>
      <c r="K69" s="13" t="str">
        <f>IF(E69&lt;Paramètres!$C$11,"Cadre inférieur","Cadre supérieur")</f>
        <v>Cadre inférieur</v>
      </c>
      <c r="L69" s="11">
        <f>MIN(F69,MIN(N($I69)*Paramètres!$C$16,Paramètres!$D$16))+MIN(G69,MIN(N($I69)*Paramètres!$C$17,Paramètres!$D$17))+MIN(H69,MIN(N($I69)*Paramètres!$C$18,Paramètres!$D$18))</f>
        <v>40794</v>
      </c>
      <c r="M69" s="11">
        <f>MIN(N($I69),Paramètres!$C$7)*Paramètres!$C$6</f>
        <v>7479.0649999999996</v>
      </c>
      <c r="N69" s="11">
        <f>MIN(M69,E69*Paramètres!$C$8)</f>
        <v>7479.0649999999996</v>
      </c>
      <c r="O69" s="11">
        <f>E69*IF(K69="Cadre supérieur",Paramètres!$C$10,Paramètres!$C$9)</f>
        <v>23797.25</v>
      </c>
      <c r="P69" s="11">
        <f t="shared" si="5"/>
        <v>63900</v>
      </c>
      <c r="Q69" s="11">
        <f>SUMPRODUCT((P69&gt;Paramètres!$B$21:$B$27)*(P69-Paramètres!$B$21:$B$27)*Paramètres!$E$21:$E$27)</f>
        <v>4352.0999999999995</v>
      </c>
      <c r="R69" s="11">
        <f>Q69*INDEX(Paramètres!$C$31:$C$38,MIN(MAX(INT(N(J69)),0),7)+1)</f>
        <v>0</v>
      </c>
      <c r="S69" s="14">
        <f t="shared" si="6"/>
        <v>4352</v>
      </c>
      <c r="T69" s="11">
        <f>ROUND(N($I69)*Paramètres!$C$13,0)</f>
        <v>4079</v>
      </c>
      <c r="U69" s="11">
        <f>ROUND(MAX(0,N($I69)-(Q69-R69)-M69)*Paramètres!$C$12,0)</f>
        <v>1242</v>
      </c>
      <c r="V69" s="14">
        <f t="shared" si="7"/>
        <v>122910</v>
      </c>
    </row>
    <row r="70" spans="2:22" ht="17.25" customHeight="1" x14ac:dyDescent="0.35">
      <c r="B70" s="7">
        <v>72</v>
      </c>
      <c r="C70" s="8" t="s">
        <v>97</v>
      </c>
      <c r="D70" s="9">
        <v>46204</v>
      </c>
      <c r="E70" s="33">
        <f t="shared" si="4"/>
        <v>95189</v>
      </c>
      <c r="F70" s="36">
        <f>MIN(ROUNDDOWN(N($I70)*Paramètres!$C$16,0),Paramètres!$D$16)</f>
        <v>27196</v>
      </c>
      <c r="G70" s="36">
        <f>MIN(ROUNDDOWN(N($I70)*Paramètres!$C$17,0),Paramètres!$D$17)</f>
        <v>6799</v>
      </c>
      <c r="H70" s="36">
        <f>MIN(ROUNDDOWN(N($I70)*Paramètres!$C$18,0),Paramètres!$D$18)</f>
        <v>6799</v>
      </c>
      <c r="I70" s="35">
        <v>135983</v>
      </c>
      <c r="J70" s="12">
        <v>0</v>
      </c>
      <c r="K70" s="13" t="str">
        <f>IF(E70&lt;Paramètres!$C$11,"Cadre inférieur","Cadre supérieur")</f>
        <v>Cadre inférieur</v>
      </c>
      <c r="L70" s="11">
        <f>MIN(F70,MIN(N($I70)*Paramètres!$C$16,Paramètres!$D$16))+MIN(G70,MIN(N($I70)*Paramètres!$C$17,Paramètres!$D$17))+MIN(H70,MIN(N($I70)*Paramètres!$C$18,Paramètres!$D$18))</f>
        <v>40794</v>
      </c>
      <c r="M70" s="11">
        <f>MIN(N($I70),Paramètres!$C$7)*Paramètres!$C$6</f>
        <v>7479.0649999999996</v>
      </c>
      <c r="N70" s="11">
        <f>MIN(M70,E70*Paramètres!$C$8)</f>
        <v>7479.0649999999996</v>
      </c>
      <c r="O70" s="11">
        <f>E70*IF(K70="Cadre supérieur",Paramètres!$C$10,Paramètres!$C$9)</f>
        <v>23797.25</v>
      </c>
      <c r="P70" s="11">
        <f t="shared" si="5"/>
        <v>63900</v>
      </c>
      <c r="Q70" s="11">
        <f>SUMPRODUCT((P70&gt;Paramètres!$B$21:$B$27)*(P70-Paramètres!$B$21:$B$27)*Paramètres!$E$21:$E$27)</f>
        <v>4352.0999999999995</v>
      </c>
      <c r="R70" s="11">
        <f>Q70*INDEX(Paramètres!$C$31:$C$38,MIN(MAX(INT(N(J70)),0),7)+1)</f>
        <v>0</v>
      </c>
      <c r="S70" s="14">
        <f t="shared" si="6"/>
        <v>4352</v>
      </c>
      <c r="T70" s="11">
        <f>ROUND(N($I70)*Paramètres!$C$13,0)</f>
        <v>4079</v>
      </c>
      <c r="U70" s="11">
        <f>ROUND(MAX(0,N($I70)-(Q70-R70)-M70)*Paramètres!$C$12,0)</f>
        <v>1242</v>
      </c>
      <c r="V70" s="14">
        <f t="shared" si="7"/>
        <v>122910</v>
      </c>
    </row>
    <row r="71" spans="2:22" ht="17.25" customHeight="1" x14ac:dyDescent="0.35">
      <c r="B71" s="7">
        <v>73</v>
      </c>
      <c r="C71" s="8" t="s">
        <v>98</v>
      </c>
      <c r="D71" s="9">
        <v>45778</v>
      </c>
      <c r="E71" s="33">
        <f t="shared" ref="E71:E86" si="8">+I71-(F71+G71+H71)</f>
        <v>349221</v>
      </c>
      <c r="F71" s="36">
        <f>MIN(ROUNDDOWN(N($I71)*Paramètres!$C$16,0),Paramètres!$D$16)</f>
        <v>75000</v>
      </c>
      <c r="G71" s="36">
        <f>MIN(ROUNDDOWN(N($I71)*Paramètres!$C$17,0),Paramètres!$D$17)</f>
        <v>23567</v>
      </c>
      <c r="H71" s="36">
        <f>MIN(ROUNDDOWN(N($I71)*Paramètres!$C$18,0),Paramètres!$D$18)</f>
        <v>23567</v>
      </c>
      <c r="I71" s="35">
        <v>471355</v>
      </c>
      <c r="J71" s="12">
        <v>0</v>
      </c>
      <c r="K71" s="13" t="str">
        <f>IF(E71&lt;Paramètres!$C$11,"Cadre inférieur","Cadre supérieur")</f>
        <v>Cadre supérieur</v>
      </c>
      <c r="L71" s="11">
        <f>MIN(F71,MIN(N($I71)*Paramètres!$C$16,Paramètres!$D$16))+MIN(G71,MIN(N($I71)*Paramètres!$C$17,Paramètres!$D$17))+MIN(H71,MIN(N($I71)*Paramètres!$C$18,Paramètres!$D$18))</f>
        <v>122134</v>
      </c>
      <c r="M71" s="11">
        <f>MIN(N($I71),Paramètres!$C$7)*Paramètres!$C$6</f>
        <v>25924.525000000001</v>
      </c>
      <c r="N71" s="11">
        <f>MIN(M71,E71*Paramètres!$C$8)</f>
        <v>25924.525000000001</v>
      </c>
      <c r="O71" s="11">
        <f>E71*IF(K71="Cadre supérieur",Paramètres!$C$10,Paramètres!$C$9)</f>
        <v>69844.2</v>
      </c>
      <c r="P71" s="11">
        <f t="shared" ref="P71:P86" si="9">MAX(0,ROUNDDOWN(N($I71)-L71-N71-O71,-2))</f>
        <v>253400</v>
      </c>
      <c r="Q71" s="11">
        <f>SUMPRODUCT((P71&gt;Paramètres!$B$21:$B$27)*(P71-Paramètres!$B$21:$B$27)*Paramètres!$E$21:$E$27)</f>
        <v>40280</v>
      </c>
      <c r="R71" s="11">
        <f>Q71*INDEX(Paramètres!$C$31:$C$38,MIN(MAX(INT(N(J71)),0),7)+1)</f>
        <v>0</v>
      </c>
      <c r="S71" s="14">
        <f t="shared" ref="S71:S86" si="10">ROUND(Q71-R71,0)</f>
        <v>40280</v>
      </c>
      <c r="T71" s="11">
        <f>ROUND(N($I71)*Paramètres!$C$13,0)</f>
        <v>14141</v>
      </c>
      <c r="U71" s="11">
        <f>ROUND(MAX(0,N($I71)-(Q71-R71)-M71)*Paramètres!$C$12,0)</f>
        <v>4052</v>
      </c>
      <c r="V71" s="14">
        <f t="shared" ref="V71:V86" si="11">ROUND(N($I71)-M71-S71-U71,0)</f>
        <v>401098</v>
      </c>
    </row>
    <row r="72" spans="2:22" ht="17.25" customHeight="1" x14ac:dyDescent="0.35">
      <c r="B72" s="7">
        <v>75</v>
      </c>
      <c r="C72" s="8" t="s">
        <v>100</v>
      </c>
      <c r="D72" s="9">
        <v>46023</v>
      </c>
      <c r="E72" s="33">
        <f t="shared" si="8"/>
        <v>149497</v>
      </c>
      <c r="F72" s="36">
        <f>MIN(ROUNDDOWN(N($I72)*Paramètres!$C$16,0),Paramètres!$D$16)</f>
        <v>42713</v>
      </c>
      <c r="G72" s="36">
        <f>MIN(ROUNDDOWN(N($I72)*Paramètres!$C$17,0),Paramètres!$D$17)</f>
        <v>10678</v>
      </c>
      <c r="H72" s="36">
        <f>MIN(ROUNDDOWN(N($I72)*Paramètres!$C$18,0),Paramètres!$D$18)</f>
        <v>10678</v>
      </c>
      <c r="I72" s="35">
        <v>213566</v>
      </c>
      <c r="J72" s="12">
        <v>0</v>
      </c>
      <c r="K72" s="13" t="str">
        <f>IF(E72&lt;Paramètres!$C$11,"Cadre inférieur","Cadre supérieur")</f>
        <v>Cadre inférieur</v>
      </c>
      <c r="L72" s="11">
        <f>MIN(F72,MIN(N($I72)*Paramètres!$C$16,Paramètres!$D$16))+MIN(G72,MIN(N($I72)*Paramètres!$C$17,Paramètres!$D$17))+MIN(H72,MIN(N($I72)*Paramètres!$C$18,Paramètres!$D$18))</f>
        <v>64069</v>
      </c>
      <c r="M72" s="11">
        <f>MIN(N($I72),Paramètres!$C$7)*Paramètres!$C$6</f>
        <v>11746.13</v>
      </c>
      <c r="N72" s="11">
        <f>MIN(M72,E72*Paramètres!$C$8)</f>
        <v>11746.13</v>
      </c>
      <c r="O72" s="11">
        <f>E72*IF(K72="Cadre supérieur",Paramètres!$C$10,Paramètres!$C$9)</f>
        <v>37374.25</v>
      </c>
      <c r="P72" s="11">
        <f t="shared" si="9"/>
        <v>100300</v>
      </c>
      <c r="Q72" s="11">
        <f>SUMPRODUCT((P72&gt;Paramètres!$B$21:$B$27)*(P72-Paramètres!$B$21:$B$27)*Paramètres!$E$21:$E$27)</f>
        <v>9777.1</v>
      </c>
      <c r="R72" s="11">
        <f>Q72*INDEX(Paramètres!$C$31:$C$38,MIN(MAX(INT(N(J72)),0),7)+1)</f>
        <v>0</v>
      </c>
      <c r="S72" s="14">
        <f t="shared" si="10"/>
        <v>9777</v>
      </c>
      <c r="T72" s="11">
        <f>ROUND(N($I72)*Paramètres!$C$13,0)</f>
        <v>6407</v>
      </c>
      <c r="U72" s="11">
        <f>ROUND(MAX(0,N($I72)-(Q72-R72)-M72)*Paramètres!$C$12,0)</f>
        <v>1920</v>
      </c>
      <c r="V72" s="14">
        <f t="shared" si="11"/>
        <v>190123</v>
      </c>
    </row>
    <row r="73" spans="2:22" ht="17.25" customHeight="1" x14ac:dyDescent="0.35">
      <c r="B73" s="7">
        <v>76</v>
      </c>
      <c r="C73" s="8" t="s">
        <v>101</v>
      </c>
      <c r="D73" s="9">
        <v>46235</v>
      </c>
      <c r="E73" s="33">
        <f t="shared" si="8"/>
        <v>124172</v>
      </c>
      <c r="F73" s="36">
        <f>MIN(ROUNDDOWN(N($I73)*Paramètres!$C$16,0),Paramètres!$D$16)</f>
        <v>35477</v>
      </c>
      <c r="G73" s="36">
        <f>MIN(ROUNDDOWN(N($I73)*Paramètres!$C$17,0),Paramètres!$D$17)</f>
        <v>8869</v>
      </c>
      <c r="H73" s="36">
        <f>MIN(ROUNDDOWN(N($I73)*Paramètres!$C$18,0),Paramètres!$D$18)</f>
        <v>8869</v>
      </c>
      <c r="I73" s="35">
        <v>177387</v>
      </c>
      <c r="J73" s="12">
        <v>0</v>
      </c>
      <c r="K73" s="13" t="str">
        <f>IF(E73&lt;Paramètres!$C$11,"Cadre inférieur","Cadre supérieur")</f>
        <v>Cadre inférieur</v>
      </c>
      <c r="L73" s="11">
        <f>MIN(F73,MIN(N($I73)*Paramètres!$C$16,Paramètres!$D$16))+MIN(G73,MIN(N($I73)*Paramètres!$C$17,Paramètres!$D$17))+MIN(H73,MIN(N($I73)*Paramètres!$C$18,Paramètres!$D$18))</f>
        <v>53215</v>
      </c>
      <c r="M73" s="11">
        <f>MIN(N($I73),Paramètres!$C$7)*Paramètres!$C$6</f>
        <v>9756.2849999999999</v>
      </c>
      <c r="N73" s="11">
        <f>MIN(M73,E73*Paramètres!$C$8)</f>
        <v>9756.2849999999999</v>
      </c>
      <c r="O73" s="11">
        <f>E73*IF(K73="Cadre supérieur",Paramètres!$C$10,Paramètres!$C$9)</f>
        <v>31043</v>
      </c>
      <c r="P73" s="11">
        <f t="shared" si="9"/>
        <v>83300</v>
      </c>
      <c r="Q73" s="11">
        <f>SUMPRODUCT((P73&gt;Paramètres!$B$21:$B$27)*(P73-Paramètres!$B$21:$B$27)*Paramètres!$E$21:$E$27)</f>
        <v>7108.1</v>
      </c>
      <c r="R73" s="11">
        <f>Q73*INDEX(Paramètres!$C$31:$C$38,MIN(MAX(INT(N(J73)),0),7)+1)</f>
        <v>0</v>
      </c>
      <c r="S73" s="14">
        <f t="shared" si="10"/>
        <v>7108</v>
      </c>
      <c r="T73" s="11">
        <f>ROUND(N($I73)*Paramètres!$C$13,0)</f>
        <v>5322</v>
      </c>
      <c r="U73" s="11">
        <f>ROUND(MAX(0,N($I73)-(Q73-R73)-M73)*Paramètres!$C$12,0)</f>
        <v>1605</v>
      </c>
      <c r="V73" s="14">
        <f t="shared" si="11"/>
        <v>158918</v>
      </c>
    </row>
    <row r="74" spans="2:22" ht="17.25" customHeight="1" x14ac:dyDescent="0.35">
      <c r="B74" s="7">
        <v>77</v>
      </c>
      <c r="C74" s="8" t="s">
        <v>102</v>
      </c>
      <c r="D74" s="9">
        <v>46183</v>
      </c>
      <c r="E74" s="33">
        <f t="shared" si="8"/>
        <v>124172</v>
      </c>
      <c r="F74" s="36">
        <f>MIN(ROUNDDOWN(N($I74)*Paramètres!$C$16,0),Paramètres!$D$16)</f>
        <v>35477</v>
      </c>
      <c r="G74" s="36">
        <f>MIN(ROUNDDOWN(N($I74)*Paramètres!$C$17,0),Paramètres!$D$17)</f>
        <v>8869</v>
      </c>
      <c r="H74" s="36">
        <f>MIN(ROUNDDOWN(N($I74)*Paramètres!$C$18,0),Paramètres!$D$18)</f>
        <v>8869</v>
      </c>
      <c r="I74" s="35">
        <v>177387</v>
      </c>
      <c r="J74" s="12">
        <v>0</v>
      </c>
      <c r="K74" s="13" t="str">
        <f>IF(E74&lt;Paramètres!$C$11,"Cadre inférieur","Cadre supérieur")</f>
        <v>Cadre inférieur</v>
      </c>
      <c r="L74" s="11">
        <f>MIN(F74,MIN(N($I74)*Paramètres!$C$16,Paramètres!$D$16))+MIN(G74,MIN(N($I74)*Paramètres!$C$17,Paramètres!$D$17))+MIN(H74,MIN(N($I74)*Paramètres!$C$18,Paramètres!$D$18))</f>
        <v>53215</v>
      </c>
      <c r="M74" s="11">
        <f>MIN(N($I74),Paramètres!$C$7)*Paramètres!$C$6</f>
        <v>9756.2849999999999</v>
      </c>
      <c r="N74" s="11">
        <f>MIN(M74,E74*Paramètres!$C$8)</f>
        <v>9756.2849999999999</v>
      </c>
      <c r="O74" s="11">
        <f>E74*IF(K74="Cadre supérieur",Paramètres!$C$10,Paramètres!$C$9)</f>
        <v>31043</v>
      </c>
      <c r="P74" s="11">
        <f t="shared" si="9"/>
        <v>83300</v>
      </c>
      <c r="Q74" s="11">
        <f>SUMPRODUCT((P74&gt;Paramètres!$B$21:$B$27)*(P74-Paramètres!$B$21:$B$27)*Paramètres!$E$21:$E$27)</f>
        <v>7108.1</v>
      </c>
      <c r="R74" s="11">
        <f>Q74*INDEX(Paramètres!$C$31:$C$38,MIN(MAX(INT(N(J74)),0),7)+1)</f>
        <v>0</v>
      </c>
      <c r="S74" s="14">
        <f t="shared" si="10"/>
        <v>7108</v>
      </c>
      <c r="T74" s="11">
        <f>ROUND(N($I74)*Paramètres!$C$13,0)</f>
        <v>5322</v>
      </c>
      <c r="U74" s="11">
        <f>ROUND(MAX(0,N($I74)-(Q74-R74)-M74)*Paramètres!$C$12,0)</f>
        <v>1605</v>
      </c>
      <c r="V74" s="14">
        <f t="shared" si="11"/>
        <v>158918</v>
      </c>
    </row>
    <row r="75" spans="2:22" ht="17.25" customHeight="1" x14ac:dyDescent="0.35">
      <c r="B75" s="7">
        <v>78</v>
      </c>
      <c r="C75" s="17" t="s">
        <v>103</v>
      </c>
      <c r="D75" s="9">
        <v>46244</v>
      </c>
      <c r="E75" s="33">
        <f t="shared" si="8"/>
        <v>175000</v>
      </c>
      <c r="F75" s="36">
        <f>MIN(ROUNDDOWN(N($I75)*Paramètres!$C$16,0),Paramètres!$D$16)</f>
        <v>50000</v>
      </c>
      <c r="G75" s="36">
        <f>MIN(ROUNDDOWN(N($I75)*Paramètres!$C$17,0),Paramètres!$D$17)</f>
        <v>12500</v>
      </c>
      <c r="H75" s="36">
        <f>MIN(ROUNDDOWN(N($I75)*Paramètres!$C$18,0),Paramètres!$D$18)</f>
        <v>12500</v>
      </c>
      <c r="I75" s="35">
        <v>250000</v>
      </c>
      <c r="J75" s="12">
        <v>0</v>
      </c>
      <c r="K75" s="13" t="str">
        <f>IF(E75&lt;Paramètres!$C$11,"Cadre inférieur","Cadre supérieur")</f>
        <v>Cadre supérieur</v>
      </c>
      <c r="L75" s="11">
        <f>MIN(F75,MIN(N($I75)*Paramètres!$C$16,Paramètres!$D$16))+MIN(G75,MIN(N($I75)*Paramètres!$C$17,Paramètres!$D$17))+MIN(H75,MIN(N($I75)*Paramètres!$C$18,Paramètres!$D$18))</f>
        <v>75000</v>
      </c>
      <c r="M75" s="11">
        <f>MIN(N($I75),Paramètres!$C$7)*Paramètres!$C$6</f>
        <v>13750</v>
      </c>
      <c r="N75" s="11">
        <f>MIN(M75,E75*Paramètres!$C$8)</f>
        <v>13750</v>
      </c>
      <c r="O75" s="11">
        <f>E75*IF(K75="Cadre supérieur",Paramètres!$C$10,Paramètres!$C$9)</f>
        <v>35000</v>
      </c>
      <c r="P75" s="11">
        <f t="shared" si="9"/>
        <v>126200</v>
      </c>
      <c r="Q75" s="11">
        <f>SUMPRODUCT((P75&gt;Paramètres!$B$21:$B$27)*(P75-Paramètres!$B$21:$B$27)*Paramètres!$E$21:$E$27)</f>
        <v>14010.799999999997</v>
      </c>
      <c r="R75" s="11">
        <f>Q75*INDEX(Paramètres!$C$31:$C$38,MIN(MAX(INT(N(J75)),0),7)+1)</f>
        <v>0</v>
      </c>
      <c r="S75" s="14">
        <f t="shared" si="10"/>
        <v>14011</v>
      </c>
      <c r="T75" s="11">
        <f>ROUND(N($I75)*Paramètres!$C$13,0)</f>
        <v>7500</v>
      </c>
      <c r="U75" s="11">
        <f>ROUND(MAX(0,N($I75)-(Q75-R75)-M75)*Paramètres!$C$12,0)</f>
        <v>2222</v>
      </c>
      <c r="V75" s="14">
        <f t="shared" si="11"/>
        <v>220017</v>
      </c>
    </row>
    <row r="76" spans="2:22" ht="17.25" customHeight="1" x14ac:dyDescent="0.35">
      <c r="B76" s="7">
        <v>79</v>
      </c>
      <c r="C76" s="8" t="s">
        <v>104</v>
      </c>
      <c r="D76" s="9">
        <v>46235</v>
      </c>
      <c r="E76" s="33">
        <f t="shared" si="8"/>
        <v>124172</v>
      </c>
      <c r="F76" s="36">
        <f>MIN(ROUNDDOWN(N($I76)*Paramètres!$C$16,0),Paramètres!$D$16)</f>
        <v>35477</v>
      </c>
      <c r="G76" s="36">
        <f>MIN(ROUNDDOWN(N($I76)*Paramètres!$C$17,0),Paramètres!$D$17)</f>
        <v>8869</v>
      </c>
      <c r="H76" s="36">
        <f>MIN(ROUNDDOWN(N($I76)*Paramètres!$C$18,0),Paramètres!$D$18)</f>
        <v>8869</v>
      </c>
      <c r="I76" s="35">
        <v>177387</v>
      </c>
      <c r="J76" s="12">
        <v>0</v>
      </c>
      <c r="K76" s="13" t="str">
        <f>IF(E76&lt;Paramètres!$C$11,"Cadre inférieur","Cadre supérieur")</f>
        <v>Cadre inférieur</v>
      </c>
      <c r="L76" s="11">
        <f>MIN(F76,MIN(N($I76)*Paramètres!$C$16,Paramètres!$D$16))+MIN(G76,MIN(N($I76)*Paramètres!$C$17,Paramètres!$D$17))+MIN(H76,MIN(N($I76)*Paramètres!$C$18,Paramètres!$D$18))</f>
        <v>53215</v>
      </c>
      <c r="M76" s="11">
        <f>MIN(N($I76),Paramètres!$C$7)*Paramètres!$C$6</f>
        <v>9756.2849999999999</v>
      </c>
      <c r="N76" s="11">
        <f>MIN(M76,E76*Paramètres!$C$8)</f>
        <v>9756.2849999999999</v>
      </c>
      <c r="O76" s="11">
        <f>E76*IF(K76="Cadre supérieur",Paramètres!$C$10,Paramètres!$C$9)</f>
        <v>31043</v>
      </c>
      <c r="P76" s="11">
        <f t="shared" si="9"/>
        <v>83300</v>
      </c>
      <c r="Q76" s="11">
        <f>SUMPRODUCT((P76&gt;Paramètres!$B$21:$B$27)*(P76-Paramètres!$B$21:$B$27)*Paramètres!$E$21:$E$27)</f>
        <v>7108.1</v>
      </c>
      <c r="R76" s="11">
        <f>Q76*INDEX(Paramètres!$C$31:$C$38,MIN(MAX(INT(N(J76)),0),7)+1)</f>
        <v>0</v>
      </c>
      <c r="S76" s="14">
        <f t="shared" si="10"/>
        <v>7108</v>
      </c>
      <c r="T76" s="11">
        <f>ROUND(N($I76)*Paramètres!$C$13,0)</f>
        <v>5322</v>
      </c>
      <c r="U76" s="11">
        <f>ROUND(MAX(0,N($I76)-(Q76-R76)-M76)*Paramètres!$C$12,0)</f>
        <v>1605</v>
      </c>
      <c r="V76" s="14">
        <f t="shared" si="11"/>
        <v>158918</v>
      </c>
    </row>
    <row r="77" spans="2:22" ht="17.25" customHeight="1" x14ac:dyDescent="0.35">
      <c r="B77" s="7">
        <v>80</v>
      </c>
      <c r="C77" s="8" t="s">
        <v>105</v>
      </c>
      <c r="D77" s="9">
        <v>46174</v>
      </c>
      <c r="E77" s="33">
        <f t="shared" si="8"/>
        <v>124172</v>
      </c>
      <c r="F77" s="36">
        <f>MIN(ROUNDDOWN(N($I77)*Paramètres!$C$16,0),Paramètres!$D$16)</f>
        <v>35477</v>
      </c>
      <c r="G77" s="36">
        <f>MIN(ROUNDDOWN(N($I77)*Paramètres!$C$17,0),Paramètres!$D$17)</f>
        <v>8869</v>
      </c>
      <c r="H77" s="36">
        <f>MIN(ROUNDDOWN(N($I77)*Paramètres!$C$18,0),Paramètres!$D$18)</f>
        <v>8869</v>
      </c>
      <c r="I77" s="35">
        <v>177387</v>
      </c>
      <c r="J77" s="12">
        <v>0</v>
      </c>
      <c r="K77" s="13" t="str">
        <f>IF(E77&lt;Paramètres!$C$11,"Cadre inférieur","Cadre supérieur")</f>
        <v>Cadre inférieur</v>
      </c>
      <c r="L77" s="11">
        <f>MIN(F77,MIN(N($I77)*Paramètres!$C$16,Paramètres!$D$16))+MIN(G77,MIN(N($I77)*Paramètres!$C$17,Paramètres!$D$17))+MIN(H77,MIN(N($I77)*Paramètres!$C$18,Paramètres!$D$18))</f>
        <v>53215</v>
      </c>
      <c r="M77" s="11">
        <f>MIN(N($I77),Paramètres!$C$7)*Paramètres!$C$6</f>
        <v>9756.2849999999999</v>
      </c>
      <c r="N77" s="11">
        <f>MIN(M77,E77*Paramètres!$C$8)</f>
        <v>9756.2849999999999</v>
      </c>
      <c r="O77" s="11">
        <f>E77*IF(K77="Cadre supérieur",Paramètres!$C$10,Paramètres!$C$9)</f>
        <v>31043</v>
      </c>
      <c r="P77" s="11">
        <f t="shared" si="9"/>
        <v>83300</v>
      </c>
      <c r="Q77" s="11">
        <f>SUMPRODUCT((P77&gt;Paramètres!$B$21:$B$27)*(P77-Paramètres!$B$21:$B$27)*Paramètres!$E$21:$E$27)</f>
        <v>7108.1</v>
      </c>
      <c r="R77" s="11">
        <f>Q77*INDEX(Paramètres!$C$31:$C$38,MIN(MAX(INT(N(J77)),0),7)+1)</f>
        <v>0</v>
      </c>
      <c r="S77" s="14">
        <f t="shared" si="10"/>
        <v>7108</v>
      </c>
      <c r="T77" s="11">
        <f>ROUND(N($I77)*Paramètres!$C$13,0)</f>
        <v>5322</v>
      </c>
      <c r="U77" s="11">
        <f>ROUND(MAX(0,N($I77)-(Q77-R77)-M77)*Paramètres!$C$12,0)</f>
        <v>1605</v>
      </c>
      <c r="V77" s="14">
        <f t="shared" si="11"/>
        <v>158918</v>
      </c>
    </row>
    <row r="78" spans="2:22" ht="17.25" customHeight="1" x14ac:dyDescent="0.35">
      <c r="B78" s="7">
        <v>81</v>
      </c>
      <c r="C78" s="8" t="s">
        <v>106</v>
      </c>
      <c r="D78" s="9">
        <v>46249</v>
      </c>
      <c r="E78" s="33">
        <f t="shared" si="8"/>
        <v>115738</v>
      </c>
      <c r="F78" s="36">
        <f>MIN(ROUNDDOWN(N($I78)*Paramètres!$C$16,0),Paramètres!$D$16)</f>
        <v>33068</v>
      </c>
      <c r="G78" s="36">
        <f>MIN(ROUNDDOWN(N($I78)*Paramètres!$C$17,0),Paramètres!$D$17)</f>
        <v>8267</v>
      </c>
      <c r="H78" s="36">
        <f>MIN(ROUNDDOWN(N($I78)*Paramètres!$C$18,0),Paramètres!$D$18)</f>
        <v>8267</v>
      </c>
      <c r="I78" s="35">
        <v>165340</v>
      </c>
      <c r="J78" s="12">
        <v>0</v>
      </c>
      <c r="K78" s="13" t="str">
        <f>IF(E78&lt;Paramètres!$C$11,"Cadre inférieur","Cadre supérieur")</f>
        <v>Cadre inférieur</v>
      </c>
      <c r="L78" s="11">
        <f>MIN(F78,MIN(N($I78)*Paramètres!$C$16,Paramètres!$D$16))+MIN(G78,MIN(N($I78)*Paramètres!$C$17,Paramètres!$D$17))+MIN(H78,MIN(N($I78)*Paramètres!$C$18,Paramètres!$D$18))</f>
        <v>49602</v>
      </c>
      <c r="M78" s="11">
        <f>MIN(N($I78),Paramètres!$C$7)*Paramètres!$C$6</f>
        <v>9093.7000000000007</v>
      </c>
      <c r="N78" s="11">
        <f>MIN(M78,E78*Paramètres!$C$8)</f>
        <v>9093.7000000000007</v>
      </c>
      <c r="O78" s="11">
        <f>E78*IF(K78="Cadre supérieur",Paramètres!$C$10,Paramètres!$C$9)</f>
        <v>28934.5</v>
      </c>
      <c r="P78" s="11">
        <f t="shared" si="9"/>
        <v>77700</v>
      </c>
      <c r="Q78" s="11">
        <f>SUMPRODUCT((P78&gt;Paramètres!$B$21:$B$27)*(P78-Paramètres!$B$21:$B$27)*Paramètres!$E$21:$E$27)</f>
        <v>6270.3</v>
      </c>
      <c r="R78" s="11">
        <f>Q78*INDEX(Paramètres!$C$31:$C$38,MIN(MAX(INT(N(J78)),0),7)+1)</f>
        <v>0</v>
      </c>
      <c r="S78" s="14">
        <f t="shared" si="10"/>
        <v>6270</v>
      </c>
      <c r="T78" s="11">
        <f>ROUND(N($I78)*Paramètres!$C$13,0)</f>
        <v>4960</v>
      </c>
      <c r="U78" s="11">
        <f>ROUND(MAX(0,N($I78)-(Q78-R78)-M78)*Paramètres!$C$12,0)</f>
        <v>1500</v>
      </c>
      <c r="V78" s="14">
        <f t="shared" si="11"/>
        <v>148476</v>
      </c>
    </row>
    <row r="79" spans="2:22" ht="17.25" customHeight="1" x14ac:dyDescent="0.35">
      <c r="B79" s="7">
        <v>83</v>
      </c>
      <c r="C79" s="8" t="s">
        <v>108</v>
      </c>
      <c r="D79" s="9">
        <v>45901</v>
      </c>
      <c r="E79" s="33">
        <f t="shared" si="8"/>
        <v>149497</v>
      </c>
      <c r="F79" s="36">
        <f>MIN(ROUNDDOWN(N($I79)*Paramètres!$C$16,0),Paramètres!$D$16)</f>
        <v>42713</v>
      </c>
      <c r="G79" s="36">
        <f>MIN(ROUNDDOWN(N($I79)*Paramètres!$C$17,0),Paramètres!$D$17)</f>
        <v>10678</v>
      </c>
      <c r="H79" s="36">
        <f>MIN(ROUNDDOWN(N($I79)*Paramètres!$C$18,0),Paramètres!$D$18)</f>
        <v>10678</v>
      </c>
      <c r="I79" s="35">
        <v>213566</v>
      </c>
      <c r="J79" s="12">
        <v>0</v>
      </c>
      <c r="K79" s="13" t="str">
        <f>IF(E79&lt;Paramètres!$C$11,"Cadre inférieur","Cadre supérieur")</f>
        <v>Cadre inférieur</v>
      </c>
      <c r="L79" s="11">
        <f>MIN(F79,MIN(N($I79)*Paramètres!$C$16,Paramètres!$D$16))+MIN(G79,MIN(N($I79)*Paramètres!$C$17,Paramètres!$D$17))+MIN(H79,MIN(N($I79)*Paramètres!$C$18,Paramètres!$D$18))</f>
        <v>64069</v>
      </c>
      <c r="M79" s="11">
        <f>MIN(N($I79),Paramètres!$C$7)*Paramètres!$C$6</f>
        <v>11746.13</v>
      </c>
      <c r="N79" s="11">
        <f>MIN(M79,E79*Paramètres!$C$8)</f>
        <v>11746.13</v>
      </c>
      <c r="O79" s="11">
        <f>E79*IF(K79="Cadre supérieur",Paramètres!$C$10,Paramètres!$C$9)</f>
        <v>37374.25</v>
      </c>
      <c r="P79" s="11">
        <f t="shared" si="9"/>
        <v>100300</v>
      </c>
      <c r="Q79" s="11">
        <f>SUMPRODUCT((P79&gt;Paramètres!$B$21:$B$27)*(P79-Paramètres!$B$21:$B$27)*Paramètres!$E$21:$E$27)</f>
        <v>9777.1</v>
      </c>
      <c r="R79" s="11">
        <f>Q79*INDEX(Paramètres!$C$31:$C$38,MIN(MAX(INT(N(J79)),0),7)+1)</f>
        <v>0</v>
      </c>
      <c r="S79" s="14">
        <f t="shared" si="10"/>
        <v>9777</v>
      </c>
      <c r="T79" s="11">
        <f>ROUND(N($I79)*Paramètres!$C$13,0)</f>
        <v>6407</v>
      </c>
      <c r="U79" s="11">
        <f>ROUND(MAX(0,N($I79)-(Q79-R79)-M79)*Paramètres!$C$12,0)</f>
        <v>1920</v>
      </c>
      <c r="V79" s="14">
        <f t="shared" si="11"/>
        <v>190123</v>
      </c>
    </row>
    <row r="80" spans="2:22" ht="17.25" customHeight="1" x14ac:dyDescent="0.35">
      <c r="B80" s="7">
        <v>86</v>
      </c>
      <c r="C80" s="8" t="s">
        <v>111</v>
      </c>
      <c r="D80" s="9">
        <v>45778</v>
      </c>
      <c r="E80" s="33">
        <f t="shared" si="8"/>
        <v>162341</v>
      </c>
      <c r="F80" s="36">
        <f>MIN(ROUNDDOWN(N($I80)*Paramètres!$C$16,0),Paramètres!$D$16)</f>
        <v>46382</v>
      </c>
      <c r="G80" s="36">
        <f>MIN(ROUNDDOWN(N($I80)*Paramètres!$C$17,0),Paramètres!$D$17)</f>
        <v>11595</v>
      </c>
      <c r="H80" s="36">
        <f>MIN(ROUNDDOWN(N($I80)*Paramètres!$C$18,0),Paramètres!$D$18)</f>
        <v>11595</v>
      </c>
      <c r="I80" s="35">
        <v>231913</v>
      </c>
      <c r="J80" s="12">
        <v>0</v>
      </c>
      <c r="K80" s="13" t="str">
        <f>IF(E80&lt;Paramètres!$C$11,"Cadre inférieur","Cadre supérieur")</f>
        <v>Cadre supérieur</v>
      </c>
      <c r="L80" s="11">
        <f>MIN(F80,MIN(N($I80)*Paramètres!$C$16,Paramètres!$D$16))+MIN(G80,MIN(N($I80)*Paramètres!$C$17,Paramètres!$D$17))+MIN(H80,MIN(N($I80)*Paramètres!$C$18,Paramètres!$D$18))</f>
        <v>69572</v>
      </c>
      <c r="M80" s="11">
        <f>MIN(N($I80),Paramètres!$C$7)*Paramètres!$C$6</f>
        <v>12755.215</v>
      </c>
      <c r="N80" s="11">
        <f>MIN(M80,E80*Paramètres!$C$8)</f>
        <v>12755.215</v>
      </c>
      <c r="O80" s="11">
        <f>E80*IF(K80="Cadre supérieur",Paramètres!$C$10,Paramètres!$C$9)</f>
        <v>32468.2</v>
      </c>
      <c r="P80" s="11">
        <f t="shared" si="9"/>
        <v>117100</v>
      </c>
      <c r="Q80" s="11">
        <f>SUMPRODUCT((P80&gt;Paramètres!$B$21:$B$27)*(P80-Paramètres!$B$21:$B$27)*Paramètres!$E$21:$E$27)</f>
        <v>12414.7</v>
      </c>
      <c r="R80" s="11">
        <f>Q80*INDEX(Paramètres!$C$31:$C$38,MIN(MAX(INT(N(J80)),0),7)+1)</f>
        <v>0</v>
      </c>
      <c r="S80" s="14">
        <f t="shared" si="10"/>
        <v>12415</v>
      </c>
      <c r="T80" s="11">
        <f>ROUND(N($I80)*Paramètres!$C$13,0)</f>
        <v>6957</v>
      </c>
      <c r="U80" s="11">
        <f>ROUND(MAX(0,N($I80)-(Q80-R80)-M80)*Paramètres!$C$12,0)</f>
        <v>2067</v>
      </c>
      <c r="V80" s="14">
        <f t="shared" si="11"/>
        <v>204676</v>
      </c>
    </row>
    <row r="81" spans="2:22" ht="17.25" customHeight="1" x14ac:dyDescent="0.35">
      <c r="B81" s="7">
        <v>87</v>
      </c>
      <c r="C81" s="8" t="s">
        <v>112</v>
      </c>
      <c r="D81" s="9">
        <v>46061</v>
      </c>
      <c r="E81" s="33">
        <f t="shared" si="8"/>
        <v>149497</v>
      </c>
      <c r="F81" s="36">
        <f>MIN(ROUNDDOWN(N($I81)*Paramètres!$C$16,0),Paramètres!$D$16)</f>
        <v>42713</v>
      </c>
      <c r="G81" s="36">
        <f>MIN(ROUNDDOWN(N($I81)*Paramètres!$C$17,0),Paramètres!$D$17)</f>
        <v>10678</v>
      </c>
      <c r="H81" s="36">
        <f>MIN(ROUNDDOWN(N($I81)*Paramètres!$C$18,0),Paramètres!$D$18)</f>
        <v>10678</v>
      </c>
      <c r="I81" s="35">
        <v>213566</v>
      </c>
      <c r="J81" s="12">
        <v>0</v>
      </c>
      <c r="K81" s="13" t="str">
        <f>IF(E81&lt;Paramètres!$C$11,"Cadre inférieur","Cadre supérieur")</f>
        <v>Cadre inférieur</v>
      </c>
      <c r="L81" s="11">
        <f>MIN(F81,MIN(N($I81)*Paramètres!$C$16,Paramètres!$D$16))+MIN(G81,MIN(N($I81)*Paramètres!$C$17,Paramètres!$D$17))+MIN(H81,MIN(N($I81)*Paramètres!$C$18,Paramètres!$D$18))</f>
        <v>64069</v>
      </c>
      <c r="M81" s="11">
        <f>MIN(N($I81),Paramètres!$C$7)*Paramètres!$C$6</f>
        <v>11746.13</v>
      </c>
      <c r="N81" s="11">
        <f>MIN(M81,E81*Paramètres!$C$8)</f>
        <v>11746.13</v>
      </c>
      <c r="O81" s="11">
        <f>E81*IF(K81="Cadre supérieur",Paramètres!$C$10,Paramètres!$C$9)</f>
        <v>37374.25</v>
      </c>
      <c r="P81" s="11">
        <f t="shared" si="9"/>
        <v>100300</v>
      </c>
      <c r="Q81" s="11">
        <f>SUMPRODUCT((P81&gt;Paramètres!$B$21:$B$27)*(P81-Paramètres!$B$21:$B$27)*Paramètres!$E$21:$E$27)</f>
        <v>9777.1</v>
      </c>
      <c r="R81" s="11">
        <f>Q81*INDEX(Paramètres!$C$31:$C$38,MIN(MAX(INT(N(J81)),0),7)+1)</f>
        <v>0</v>
      </c>
      <c r="S81" s="14">
        <f t="shared" si="10"/>
        <v>9777</v>
      </c>
      <c r="T81" s="11">
        <f>ROUND(N($I81)*Paramètres!$C$13,0)</f>
        <v>6407</v>
      </c>
      <c r="U81" s="11">
        <f>ROUND(MAX(0,N($I81)-(Q81-R81)-M81)*Paramètres!$C$12,0)</f>
        <v>1920</v>
      </c>
      <c r="V81" s="14">
        <f t="shared" si="11"/>
        <v>190123</v>
      </c>
    </row>
    <row r="82" spans="2:22" ht="17.25" customHeight="1" x14ac:dyDescent="0.35">
      <c r="B82" s="7">
        <v>88</v>
      </c>
      <c r="C82" s="8" t="s">
        <v>113</v>
      </c>
      <c r="D82" s="9">
        <v>46220</v>
      </c>
      <c r="E82" s="33">
        <f t="shared" si="8"/>
        <v>136840</v>
      </c>
      <c r="F82" s="36">
        <f>MIN(ROUNDDOWN(N($I82)*Paramètres!$C$16,0),Paramètres!$D$16)</f>
        <v>39096</v>
      </c>
      <c r="G82" s="36">
        <f>MIN(ROUNDDOWN(N($I82)*Paramètres!$C$17,0),Paramètres!$D$17)</f>
        <v>9774</v>
      </c>
      <c r="H82" s="36">
        <f>MIN(ROUNDDOWN(N($I82)*Paramètres!$C$18,0),Paramètres!$D$18)</f>
        <v>9774</v>
      </c>
      <c r="I82" s="35">
        <v>195484</v>
      </c>
      <c r="J82" s="12">
        <v>0</v>
      </c>
      <c r="K82" s="13" t="str">
        <f>IF(E82&lt;Paramètres!$C$11,"Cadre inférieur","Cadre supérieur")</f>
        <v>Cadre inférieur</v>
      </c>
      <c r="L82" s="11">
        <f>MIN(F82,MIN(N($I82)*Paramètres!$C$16,Paramètres!$D$16))+MIN(G82,MIN(N($I82)*Paramètres!$C$17,Paramètres!$D$17))+MIN(H82,MIN(N($I82)*Paramètres!$C$18,Paramètres!$D$18))</f>
        <v>58644</v>
      </c>
      <c r="M82" s="11">
        <f>MIN(N($I82),Paramètres!$C$7)*Paramètres!$C$6</f>
        <v>10751.62</v>
      </c>
      <c r="N82" s="11">
        <f>MIN(M82,E82*Paramètres!$C$8)</f>
        <v>10751.62</v>
      </c>
      <c r="O82" s="11">
        <f>E82*IF(K82="Cadre supérieur",Paramètres!$C$10,Paramètres!$C$9)</f>
        <v>34210</v>
      </c>
      <c r="P82" s="11">
        <f t="shared" si="9"/>
        <v>91800</v>
      </c>
      <c r="Q82" s="11">
        <f>SUMPRODUCT((P82&gt;Paramètres!$B$21:$B$27)*(P82-Paramètres!$B$21:$B$27)*Paramètres!$E$21:$E$27)</f>
        <v>8442.6</v>
      </c>
      <c r="R82" s="11">
        <f>Q82*INDEX(Paramètres!$C$31:$C$38,MIN(MAX(INT(N(J82)),0),7)+1)</f>
        <v>0</v>
      </c>
      <c r="S82" s="14">
        <f t="shared" si="10"/>
        <v>8443</v>
      </c>
      <c r="T82" s="11">
        <f>ROUND(N($I82)*Paramètres!$C$13,0)</f>
        <v>5865</v>
      </c>
      <c r="U82" s="11">
        <f>ROUND(MAX(0,N($I82)-(Q82-R82)-M82)*Paramètres!$C$12,0)</f>
        <v>1763</v>
      </c>
      <c r="V82" s="14">
        <f t="shared" si="11"/>
        <v>174526</v>
      </c>
    </row>
    <row r="83" spans="2:22" ht="17.25" customHeight="1" x14ac:dyDescent="0.35">
      <c r="B83" s="7">
        <v>89</v>
      </c>
      <c r="C83" s="8" t="s">
        <v>114</v>
      </c>
      <c r="D83" s="9">
        <v>46174</v>
      </c>
      <c r="E83" s="33">
        <f t="shared" si="8"/>
        <v>124172</v>
      </c>
      <c r="F83" s="36">
        <f>MIN(ROUNDDOWN(N($I83)*Paramètres!$C$16,0),Paramètres!$D$16)</f>
        <v>35477</v>
      </c>
      <c r="G83" s="36">
        <f>MIN(ROUNDDOWN(N($I83)*Paramètres!$C$17,0),Paramètres!$D$17)</f>
        <v>8869</v>
      </c>
      <c r="H83" s="36">
        <f>MIN(ROUNDDOWN(N($I83)*Paramètres!$C$18,0),Paramètres!$D$18)</f>
        <v>8869</v>
      </c>
      <c r="I83" s="35">
        <v>177387</v>
      </c>
      <c r="J83" s="12">
        <v>0</v>
      </c>
      <c r="K83" s="13" t="str">
        <f>IF(E83&lt;Paramètres!$C$11,"Cadre inférieur","Cadre supérieur")</f>
        <v>Cadre inférieur</v>
      </c>
      <c r="L83" s="11">
        <f>MIN(F83,MIN(N($I83)*Paramètres!$C$16,Paramètres!$D$16))+MIN(G83,MIN(N($I83)*Paramètres!$C$17,Paramètres!$D$17))+MIN(H83,MIN(N($I83)*Paramètres!$C$18,Paramètres!$D$18))</f>
        <v>53215</v>
      </c>
      <c r="M83" s="11">
        <f>MIN(N($I83),Paramètres!$C$7)*Paramètres!$C$6</f>
        <v>9756.2849999999999</v>
      </c>
      <c r="N83" s="11">
        <f>MIN(M83,E83*Paramètres!$C$8)</f>
        <v>9756.2849999999999</v>
      </c>
      <c r="O83" s="11">
        <f>E83*IF(K83="Cadre supérieur",Paramètres!$C$10,Paramètres!$C$9)</f>
        <v>31043</v>
      </c>
      <c r="P83" s="11">
        <f t="shared" si="9"/>
        <v>83300</v>
      </c>
      <c r="Q83" s="11">
        <f>SUMPRODUCT((P83&gt;Paramètres!$B$21:$B$27)*(P83-Paramètres!$B$21:$B$27)*Paramètres!$E$21:$E$27)</f>
        <v>7108.1</v>
      </c>
      <c r="R83" s="11">
        <f>Q83*INDEX(Paramètres!$C$31:$C$38,MIN(MAX(INT(N(J83)),0),7)+1)</f>
        <v>0</v>
      </c>
      <c r="S83" s="14">
        <f t="shared" si="10"/>
        <v>7108</v>
      </c>
      <c r="T83" s="11">
        <f>ROUND(N($I83)*Paramètres!$C$13,0)</f>
        <v>5322</v>
      </c>
      <c r="U83" s="11">
        <f>ROUND(MAX(0,N($I83)-(Q83-R83)-M83)*Paramètres!$C$12,0)</f>
        <v>1605</v>
      </c>
      <c r="V83" s="14">
        <f t="shared" si="11"/>
        <v>158918</v>
      </c>
    </row>
    <row r="84" spans="2:22" ht="17.25" customHeight="1" x14ac:dyDescent="0.35">
      <c r="B84" s="7">
        <v>90</v>
      </c>
      <c r="C84" s="8" t="s">
        <v>115</v>
      </c>
      <c r="D84" s="9">
        <v>45784</v>
      </c>
      <c r="E84" s="33">
        <f t="shared" si="8"/>
        <v>75880</v>
      </c>
      <c r="F84" s="36">
        <f>MIN(ROUNDDOWN(N($I84)*Paramètres!$C$16,0),Paramètres!$D$16)</f>
        <v>21679</v>
      </c>
      <c r="G84" s="36">
        <f>MIN(ROUNDDOWN(N($I84)*Paramètres!$C$17,0),Paramètres!$D$17)</f>
        <v>5419</v>
      </c>
      <c r="H84" s="36">
        <f>MIN(ROUNDDOWN(N($I84)*Paramètres!$C$18,0),Paramètres!$D$18)</f>
        <v>5419</v>
      </c>
      <c r="I84" s="35">
        <v>108397</v>
      </c>
      <c r="J84" s="12">
        <v>0</v>
      </c>
      <c r="K84" s="13" t="str">
        <f>IF(E84&lt;Paramètres!$C$11,"Cadre inférieur","Cadre supérieur")</f>
        <v>Cadre inférieur</v>
      </c>
      <c r="L84" s="11">
        <f>MIN(F84,MIN(N($I84)*Paramètres!$C$16,Paramètres!$D$16))+MIN(G84,MIN(N($I84)*Paramètres!$C$17,Paramètres!$D$17))+MIN(H84,MIN(N($I84)*Paramètres!$C$18,Paramètres!$D$18))</f>
        <v>32517</v>
      </c>
      <c r="M84" s="11">
        <f>MIN(N($I84),Paramètres!$C$7)*Paramètres!$C$6</f>
        <v>5961.835</v>
      </c>
      <c r="N84" s="11">
        <f>MIN(M84,E84*Paramètres!$C$8)</f>
        <v>5961.835</v>
      </c>
      <c r="O84" s="11">
        <f>E84*IF(K84="Cadre supérieur",Paramètres!$C$10,Paramètres!$C$9)</f>
        <v>18970</v>
      </c>
      <c r="P84" s="11">
        <f t="shared" si="9"/>
        <v>50900</v>
      </c>
      <c r="Q84" s="11">
        <f>SUMPRODUCT((P84&gt;Paramètres!$B$21:$B$27)*(P84-Paramètres!$B$21:$B$27)*Paramètres!$E$21:$E$27)</f>
        <v>2545.1</v>
      </c>
      <c r="R84" s="11">
        <f>Q84*INDEX(Paramètres!$C$31:$C$38,MIN(MAX(INT(N(J84)),0),7)+1)</f>
        <v>0</v>
      </c>
      <c r="S84" s="14">
        <f t="shared" si="10"/>
        <v>2545</v>
      </c>
      <c r="T84" s="11">
        <f>ROUND(N($I84)*Paramètres!$C$13,0)</f>
        <v>3252</v>
      </c>
      <c r="U84" s="11">
        <f>ROUND(MAX(0,N($I84)-(Q84-R84)-M84)*Paramètres!$C$12,0)</f>
        <v>999</v>
      </c>
      <c r="V84" s="14">
        <f t="shared" si="11"/>
        <v>98891</v>
      </c>
    </row>
    <row r="85" spans="2:22" ht="17.25" customHeight="1" x14ac:dyDescent="0.35">
      <c r="B85" s="7">
        <v>91</v>
      </c>
      <c r="C85" s="21" t="s">
        <v>116</v>
      </c>
      <c r="D85" s="9">
        <v>46183</v>
      </c>
      <c r="E85" s="33">
        <f t="shared" si="8"/>
        <v>124172</v>
      </c>
      <c r="F85" s="36">
        <f>MIN(ROUNDDOWN(N($I85)*Paramètres!$C$16,0),Paramètres!$D$16)</f>
        <v>35477</v>
      </c>
      <c r="G85" s="36">
        <f>MIN(ROUNDDOWN(N($I85)*Paramètres!$C$17,0),Paramètres!$D$17)</f>
        <v>8869</v>
      </c>
      <c r="H85" s="36">
        <f>MIN(ROUNDDOWN(N($I85)*Paramètres!$C$18,0),Paramètres!$D$18)</f>
        <v>8869</v>
      </c>
      <c r="I85" s="35">
        <v>177387</v>
      </c>
      <c r="J85" s="12">
        <v>0</v>
      </c>
      <c r="K85" s="13" t="str">
        <f>IF(E85&lt;Paramètres!$C$11,"Cadre inférieur","Cadre supérieur")</f>
        <v>Cadre inférieur</v>
      </c>
      <c r="L85" s="11">
        <f>MIN(F85,MIN(N($I85)*Paramètres!$C$16,Paramètres!$D$16))+MIN(G85,MIN(N($I85)*Paramètres!$C$17,Paramètres!$D$17))+MIN(H85,MIN(N($I85)*Paramètres!$C$18,Paramètres!$D$18))</f>
        <v>53215</v>
      </c>
      <c r="M85" s="11">
        <f>MIN(N($I85),Paramètres!$C$7)*Paramètres!$C$6</f>
        <v>9756.2849999999999</v>
      </c>
      <c r="N85" s="11">
        <f>MIN(M85,E85*Paramètres!$C$8)</f>
        <v>9756.2849999999999</v>
      </c>
      <c r="O85" s="11">
        <f>E85*IF(K85="Cadre supérieur",Paramètres!$C$10,Paramètres!$C$9)</f>
        <v>31043</v>
      </c>
      <c r="P85" s="11">
        <f t="shared" si="9"/>
        <v>83300</v>
      </c>
      <c r="Q85" s="11">
        <f>SUMPRODUCT((P85&gt;Paramètres!$B$21:$B$27)*(P85-Paramètres!$B$21:$B$27)*Paramètres!$E$21:$E$27)</f>
        <v>7108.1</v>
      </c>
      <c r="R85" s="11">
        <f>Q85*INDEX(Paramètres!$C$31:$C$38,MIN(MAX(INT(N(J85)),0),7)+1)</f>
        <v>0</v>
      </c>
      <c r="S85" s="14">
        <f t="shared" si="10"/>
        <v>7108</v>
      </c>
      <c r="T85" s="11">
        <f>ROUND(N($I85)*Paramètres!$C$13,0)</f>
        <v>5322</v>
      </c>
      <c r="U85" s="11">
        <f>ROUND(MAX(0,N($I85)-(Q85-R85)-M85)*Paramètres!$C$12,0)</f>
        <v>1605</v>
      </c>
      <c r="V85" s="14">
        <f t="shared" si="11"/>
        <v>158918</v>
      </c>
    </row>
    <row r="86" spans="2:22" ht="18" customHeight="1" x14ac:dyDescent="0.35">
      <c r="B86" s="7">
        <v>92</v>
      </c>
      <c r="C86" s="21" t="s">
        <v>117</v>
      </c>
      <c r="D86" s="9"/>
      <c r="E86" s="33">
        <f t="shared" si="8"/>
        <v>162341</v>
      </c>
      <c r="F86" s="36">
        <f>MIN(ROUNDDOWN(N($I86)*Paramètres!$C$16,0),Paramètres!$D$16)</f>
        <v>46382</v>
      </c>
      <c r="G86" s="36">
        <f>MIN(ROUNDDOWN(N($I86)*Paramètres!$C$17,0),Paramètres!$D$17)</f>
        <v>11595</v>
      </c>
      <c r="H86" s="36">
        <f>MIN(ROUNDDOWN(N($I86)*Paramètres!$C$18,0),Paramètres!$D$18)</f>
        <v>11595</v>
      </c>
      <c r="I86" s="35">
        <v>231913</v>
      </c>
      <c r="J86" s="12">
        <v>0</v>
      </c>
      <c r="K86" s="13" t="str">
        <f>IF(E86&lt;Paramètres!$C$11,"Cadre inférieur","Cadre supérieur")</f>
        <v>Cadre supérieur</v>
      </c>
      <c r="L86" s="11">
        <f>MIN(F86,MIN(N($I86)*Paramètres!$C$16,Paramètres!$D$16))+MIN(G86,MIN(N($I86)*Paramètres!$C$17,Paramètres!$D$17))+MIN(H86,MIN(N($I86)*Paramètres!$C$18,Paramètres!$D$18))</f>
        <v>69572</v>
      </c>
      <c r="M86" s="11">
        <f>MIN(N($I86),Paramètres!$C$7)*Paramètres!$C$6</f>
        <v>12755.215</v>
      </c>
      <c r="N86" s="11">
        <f>MIN(M86,E86*Paramètres!$C$8)</f>
        <v>12755.215</v>
      </c>
      <c r="O86" s="11">
        <f>E86*IF(K86="Cadre supérieur",Paramètres!$C$10,Paramètres!$C$9)</f>
        <v>32468.2</v>
      </c>
      <c r="P86" s="11">
        <f t="shared" si="9"/>
        <v>117100</v>
      </c>
      <c r="Q86" s="11">
        <f>SUMPRODUCT((P86&gt;Paramètres!$B$21:$B$27)*(P86-Paramètres!$B$21:$B$27)*Paramètres!$E$21:$E$27)</f>
        <v>12414.7</v>
      </c>
      <c r="R86" s="11">
        <f>Q86*INDEX(Paramètres!$C$31:$C$38,MIN(MAX(INT(N(J86)),0),7)+1)</f>
        <v>0</v>
      </c>
      <c r="S86" s="14">
        <f t="shared" si="10"/>
        <v>12415</v>
      </c>
      <c r="T86" s="11">
        <f>ROUND(N($I86)*Paramètres!$C$13,0)</f>
        <v>6957</v>
      </c>
      <c r="U86" s="11">
        <f>ROUND(MAX(0,N($I86)-(Q86-R86)-M86)*Paramètres!$C$12,0)</f>
        <v>2067</v>
      </c>
      <c r="V86" s="14">
        <f t="shared" si="11"/>
        <v>204676</v>
      </c>
    </row>
    <row r="87" spans="2:22" ht="20.25" customHeight="1" x14ac:dyDescent="0.4">
      <c r="B87" s="51" t="s">
        <v>119</v>
      </c>
      <c r="C87" s="51"/>
      <c r="D87" s="51"/>
      <c r="E87" s="25">
        <f>SUM(E7:E86)</f>
        <v>11822080</v>
      </c>
      <c r="F87" s="25">
        <f>SUM(F7:F86)</f>
        <v>3173069</v>
      </c>
      <c r="G87" s="25">
        <f>SUM(G7:G86)</f>
        <v>818949</v>
      </c>
      <c r="H87" s="25">
        <f>SUM(H7:H86)</f>
        <v>832290</v>
      </c>
      <c r="I87" s="37">
        <f>SUM(I7:I86)</f>
        <v>16646388</v>
      </c>
      <c r="L87" s="25">
        <f t="shared" ref="L87:V87" si="12">SUM(L7:L86)</f>
        <v>4824308</v>
      </c>
      <c r="M87" s="25">
        <f t="shared" si="12"/>
        <v>911875.68999999983</v>
      </c>
      <c r="N87" s="25">
        <f t="shared" si="12"/>
        <v>911875.68999999983</v>
      </c>
      <c r="O87" s="25">
        <f t="shared" si="12"/>
        <v>2758000.5000000005</v>
      </c>
      <c r="P87" s="25">
        <f t="shared" si="12"/>
        <v>8147800</v>
      </c>
      <c r="Q87" s="25">
        <f t="shared" si="12"/>
        <v>864006.09999999916</v>
      </c>
      <c r="R87" s="25">
        <f t="shared" si="12"/>
        <v>0</v>
      </c>
      <c r="S87" s="26">
        <f t="shared" si="12"/>
        <v>864001</v>
      </c>
      <c r="T87" s="25">
        <f t="shared" si="12"/>
        <v>499395</v>
      </c>
      <c r="U87" s="25">
        <f t="shared" si="12"/>
        <v>148696</v>
      </c>
      <c r="V87" s="26">
        <f t="shared" si="12"/>
        <v>14721820</v>
      </c>
    </row>
    <row r="88" spans="2:22" ht="21" customHeight="1" x14ac:dyDescent="0.35">
      <c r="B88" s="52" t="s">
        <v>120</v>
      </c>
      <c r="C88" s="52"/>
      <c r="D88" s="52"/>
      <c r="E88" s="38"/>
      <c r="F88" s="38"/>
      <c r="G88" s="38"/>
      <c r="H88" s="38"/>
      <c r="I88" s="38"/>
      <c r="S88" s="28">
        <f>JUILLET!S101+S87</f>
        <v>1552803</v>
      </c>
      <c r="T88" s="29">
        <f>JUILLET!T101+T87</f>
        <v>883412</v>
      </c>
      <c r="U88" s="29">
        <f>JUILLET!U101+U87</f>
        <v>262808</v>
      </c>
      <c r="V88" s="28">
        <f>JUILLET!V101+V87</f>
        <v>26019184</v>
      </c>
    </row>
    <row r="90" spans="2:22" x14ac:dyDescent="0.35">
      <c r="C90" s="30" t="s">
        <v>121</v>
      </c>
    </row>
    <row r="91" spans="2:22" x14ac:dyDescent="0.35">
      <c r="C91" s="31" t="s">
        <v>122</v>
      </c>
    </row>
    <row r="92" spans="2:22" x14ac:dyDescent="0.35">
      <c r="C92" s="31" t="s">
        <v>123</v>
      </c>
    </row>
    <row r="93" spans="2:22" x14ac:dyDescent="0.35">
      <c r="C93" s="31" t="s">
        <v>124</v>
      </c>
    </row>
    <row r="94" spans="2:22" x14ac:dyDescent="0.35">
      <c r="C94" s="31" t="s">
        <v>125</v>
      </c>
    </row>
    <row r="95" spans="2:22" x14ac:dyDescent="0.35">
      <c r="C95" s="31" t="s">
        <v>126</v>
      </c>
    </row>
    <row r="96" spans="2:22" x14ac:dyDescent="0.35">
      <c r="C96" s="31" t="s">
        <v>130</v>
      </c>
    </row>
  </sheetData>
  <autoFilter ref="B6:I88" xr:uid="{00000000-0009-0000-0000-000001000000}"/>
  <mergeCells count="8">
    <mergeCell ref="T5:V5"/>
    <mergeCell ref="B87:D87"/>
    <mergeCell ref="B88:D88"/>
    <mergeCell ref="B4:I4"/>
    <mergeCell ref="B5:C5"/>
    <mergeCell ref="D5:I5"/>
    <mergeCell ref="J5:K5"/>
    <mergeCell ref="L5:S5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V108"/>
  <sheetViews>
    <sheetView topLeftCell="A84" zoomScaleNormal="100" workbookViewId="0">
      <selection activeCell="A15" sqref="A15:XFD15"/>
    </sheetView>
  </sheetViews>
  <sheetFormatPr baseColWidth="10" defaultColWidth="11.54296875" defaultRowHeight="14.5" x14ac:dyDescent="0.35"/>
  <cols>
    <col min="3" max="3" width="37.1796875" customWidth="1"/>
    <col min="4" max="4" width="18.81640625" customWidth="1"/>
    <col min="5" max="5" width="15.90625" customWidth="1"/>
    <col min="6" max="9" width="13" customWidth="1"/>
    <col min="10" max="10" width="9" customWidth="1"/>
    <col min="11" max="11" width="15" customWidth="1"/>
    <col min="12" max="18" width="13" customWidth="1"/>
    <col min="19" max="19" width="15" customWidth="1"/>
    <col min="20" max="21" width="13" customWidth="1"/>
    <col min="22" max="22" width="16" customWidth="1"/>
  </cols>
  <sheetData>
    <row r="2" spans="2:22" x14ac:dyDescent="0.35">
      <c r="C2" s="1"/>
      <c r="D2" s="1"/>
    </row>
    <row r="3" spans="2:22" ht="15" customHeight="1" x14ac:dyDescent="0.35"/>
    <row r="4" spans="2:22" ht="21.75" customHeight="1" x14ac:dyDescent="0.35">
      <c r="B4" s="59" t="s">
        <v>0</v>
      </c>
      <c r="C4" s="59"/>
      <c r="D4" s="59"/>
      <c r="E4" s="59"/>
    </row>
    <row r="5" spans="2:22" ht="21.75" customHeight="1" x14ac:dyDescent="0.4">
      <c r="B5" s="54" t="s">
        <v>1</v>
      </c>
      <c r="C5" s="54"/>
      <c r="D5" s="60">
        <v>46266</v>
      </c>
      <c r="E5" s="60"/>
      <c r="F5" s="56" t="s">
        <v>2</v>
      </c>
      <c r="G5" s="56"/>
      <c r="H5" s="56"/>
      <c r="I5" s="56"/>
      <c r="J5" s="57" t="s">
        <v>3</v>
      </c>
      <c r="K5" s="57"/>
      <c r="L5" s="49" t="s">
        <v>4</v>
      </c>
      <c r="M5" s="49"/>
      <c r="N5" s="49"/>
      <c r="O5" s="49"/>
      <c r="P5" s="49"/>
      <c r="Q5" s="49"/>
      <c r="R5" s="49"/>
      <c r="S5" s="49"/>
      <c r="T5" s="50" t="s">
        <v>5</v>
      </c>
      <c r="U5" s="50"/>
      <c r="V5" s="50"/>
    </row>
    <row r="6" spans="2:22" ht="27" customHeight="1" x14ac:dyDescent="0.35">
      <c r="B6" s="2" t="s">
        <v>6</v>
      </c>
      <c r="C6" s="3" t="s">
        <v>7</v>
      </c>
      <c r="D6" s="4" t="s">
        <v>8</v>
      </c>
      <c r="E6" s="39">
        <v>46266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6" t="s">
        <v>14</v>
      </c>
      <c r="L6" s="6" t="s">
        <v>15</v>
      </c>
      <c r="M6" s="6" t="s">
        <v>16</v>
      </c>
      <c r="N6" s="6" t="s">
        <v>17</v>
      </c>
      <c r="O6" s="6" t="s">
        <v>18</v>
      </c>
      <c r="P6" s="6" t="s">
        <v>19</v>
      </c>
      <c r="Q6" s="6" t="s">
        <v>20</v>
      </c>
      <c r="R6" s="6" t="s">
        <v>21</v>
      </c>
      <c r="S6" s="6" t="s">
        <v>22</v>
      </c>
      <c r="T6" s="6" t="s">
        <v>23</v>
      </c>
      <c r="U6" s="6" t="s">
        <v>24</v>
      </c>
      <c r="V6" s="6" t="s">
        <v>25</v>
      </c>
    </row>
    <row r="7" spans="2:22" ht="17.25" customHeight="1" x14ac:dyDescent="0.35">
      <c r="B7" s="7">
        <v>1</v>
      </c>
      <c r="C7" s="8" t="s">
        <v>26</v>
      </c>
      <c r="D7" s="9">
        <v>46242</v>
      </c>
      <c r="E7" s="40">
        <v>80000</v>
      </c>
      <c r="F7" s="11">
        <f>MIN(ROUNDDOWN(N($E7)*Paramètres!$C$16,0),Paramètres!$D$16)</f>
        <v>16000</v>
      </c>
      <c r="G7" s="11">
        <f>MIN(ROUNDDOWN(N($E7)*Paramètres!$C$17,0),Paramètres!$D$17)</f>
        <v>4000</v>
      </c>
      <c r="H7" s="11">
        <f>MIN(ROUNDDOWN(N($E7)*Paramètres!$C$18,0),Paramètres!$D$18)</f>
        <v>4000</v>
      </c>
      <c r="I7" s="11">
        <f t="shared" ref="I7:I38" si="0">N($E7)-(F7+G7+H7)</f>
        <v>56000</v>
      </c>
      <c r="J7" s="12">
        <v>0</v>
      </c>
      <c r="K7" s="13" t="str">
        <f>IF(I7&lt;Paramètres!$C$11,"Cadre inférieur","Cadre supérieur")</f>
        <v>Cadre inférieur</v>
      </c>
      <c r="L7" s="11">
        <f>MIN(F7,MIN(N($E7)*Paramètres!$C$16,Paramètres!$D$16))+MIN(G7,MIN(N($E7)*Paramètres!$C$17,Paramètres!$D$17))+MIN(H7,MIN(N($E7)*Paramètres!$C$18,Paramètres!$D$18))</f>
        <v>24000</v>
      </c>
      <c r="M7" s="11">
        <f>MIN(N($E7),Paramètres!$C$7)*Paramètres!$C$6</f>
        <v>4400</v>
      </c>
      <c r="N7" s="11">
        <f>MIN(M7,I7*Paramètres!$C$8)</f>
        <v>4400</v>
      </c>
      <c r="O7" s="11">
        <f>I7*IF(K7="Cadre supérieur",Paramètres!$C$10,Paramètres!$C$9)</f>
        <v>14000</v>
      </c>
      <c r="P7" s="11">
        <f t="shared" ref="P7:P38" si="1">MAX(0,ROUNDDOWN(N($E7)-L7-N7-O7,-2))</f>
        <v>37600</v>
      </c>
      <c r="Q7" s="11">
        <f>SUMPRODUCT((P7&gt;Paramètres!$B$21:$B$27)*(P7-Paramètres!$B$21:$B$27)*Paramètres!$E$21:$E$27)</f>
        <v>919.6</v>
      </c>
      <c r="R7" s="11">
        <f>Q7*INDEX(Paramètres!$C$31:$C$38,MIN(MAX(INT(N(J7)),0),7)+1)</f>
        <v>0</v>
      </c>
      <c r="S7" s="14">
        <f t="shared" ref="S7:S38" si="2">ROUND(Q7-R7,0)</f>
        <v>920</v>
      </c>
      <c r="T7" s="11">
        <f>ROUND(N($E7)*Paramètres!$C$13,0)</f>
        <v>2400</v>
      </c>
      <c r="U7" s="11">
        <f>ROUND(MAX(0,N($E7)-(Q7-R7)-M7)*Paramètres!$C$12,0)</f>
        <v>747</v>
      </c>
      <c r="V7" s="14">
        <f t="shared" ref="V7:V38" si="3">ROUND(N($E7)-M7-S7-U7,0)</f>
        <v>73933</v>
      </c>
    </row>
    <row r="8" spans="2:22" s="15" customFormat="1" ht="17.25" customHeight="1" x14ac:dyDescent="0.35">
      <c r="B8" s="7">
        <v>2</v>
      </c>
      <c r="C8" s="8" t="s">
        <v>27</v>
      </c>
      <c r="D8" s="9">
        <v>46196</v>
      </c>
      <c r="E8" s="40">
        <v>135983</v>
      </c>
      <c r="F8" s="11">
        <f>MIN(ROUNDDOWN(N($E8)*Paramètres!$C$16,0),Paramètres!$D$16)</f>
        <v>27196</v>
      </c>
      <c r="G8" s="11">
        <f>MIN(ROUNDDOWN(N($E8)*Paramètres!$C$17,0),Paramètres!$D$17)</f>
        <v>6799</v>
      </c>
      <c r="H8" s="11">
        <f>MIN(ROUNDDOWN(N($E8)*Paramètres!$C$18,0),Paramètres!$D$18)</f>
        <v>6799</v>
      </c>
      <c r="I8" s="11">
        <f t="shared" si="0"/>
        <v>95189</v>
      </c>
      <c r="J8" s="12">
        <v>0</v>
      </c>
      <c r="K8" s="13" t="str">
        <f>IF(I8&lt;Paramètres!$C$11,"Cadre inférieur","Cadre supérieur")</f>
        <v>Cadre inférieur</v>
      </c>
      <c r="L8" s="11">
        <f>MIN(F8,MIN(N($E8)*Paramètres!$C$16,Paramètres!$D$16))+MIN(G8,MIN(N($E8)*Paramètres!$C$17,Paramètres!$D$17))+MIN(H8,MIN(N($E8)*Paramètres!$C$18,Paramètres!$D$18))</f>
        <v>40794</v>
      </c>
      <c r="M8" s="11">
        <f>MIN(N($E8),Paramètres!$C$7)*Paramètres!$C$6</f>
        <v>7479.0649999999996</v>
      </c>
      <c r="N8" s="11">
        <f>MIN(M8,I8*Paramètres!$C$8)</f>
        <v>7479.0649999999996</v>
      </c>
      <c r="O8" s="11">
        <f>I8*IF(K8="Cadre supérieur",Paramètres!$C$10,Paramètres!$C$9)</f>
        <v>23797.25</v>
      </c>
      <c r="P8" s="11">
        <f t="shared" si="1"/>
        <v>63900</v>
      </c>
      <c r="Q8" s="11">
        <f>SUMPRODUCT((P8&gt;Paramètres!$B$21:$B$27)*(P8-Paramètres!$B$21:$B$27)*Paramètres!$E$21:$E$27)</f>
        <v>4352.0999999999995</v>
      </c>
      <c r="R8" s="11">
        <f>Q8*INDEX(Paramètres!$C$31:$C$38,MIN(MAX(INT(N(J8)),0),7)+1)</f>
        <v>0</v>
      </c>
      <c r="S8" s="14">
        <f t="shared" si="2"/>
        <v>4352</v>
      </c>
      <c r="T8" s="11">
        <f>ROUND(N($E8)*Paramètres!$C$13,0)</f>
        <v>4079</v>
      </c>
      <c r="U8" s="11">
        <f>ROUND(MAX(0,N($E8)-(Q8-R8)-M8)*Paramètres!$C$12,0)</f>
        <v>1242</v>
      </c>
      <c r="V8" s="14">
        <f t="shared" si="3"/>
        <v>122910</v>
      </c>
    </row>
    <row r="9" spans="2:22" ht="17.25" customHeight="1" x14ac:dyDescent="0.35">
      <c r="B9" s="7">
        <v>3</v>
      </c>
      <c r="C9" s="8" t="s">
        <v>28</v>
      </c>
      <c r="D9" s="9">
        <v>46000</v>
      </c>
      <c r="E9" s="40">
        <v>177387</v>
      </c>
      <c r="F9" s="11">
        <f>MIN(ROUNDDOWN(N($E9)*Paramètres!$C$16,0),Paramètres!$D$16)</f>
        <v>35477</v>
      </c>
      <c r="G9" s="11">
        <f>MIN(ROUNDDOWN(N($E9)*Paramètres!$C$17,0),Paramètres!$D$17)</f>
        <v>8869</v>
      </c>
      <c r="H9" s="11">
        <f>MIN(ROUNDDOWN(N($E9)*Paramètres!$C$18,0),Paramètres!$D$18)</f>
        <v>8869</v>
      </c>
      <c r="I9" s="11">
        <f t="shared" si="0"/>
        <v>124172</v>
      </c>
      <c r="J9" s="12">
        <v>0</v>
      </c>
      <c r="K9" s="13" t="str">
        <f>IF(I9&lt;Paramètres!$C$11,"Cadre inférieur","Cadre supérieur")</f>
        <v>Cadre inférieur</v>
      </c>
      <c r="L9" s="11">
        <f>MIN(F9,MIN(N($E9)*Paramètres!$C$16,Paramètres!$D$16))+MIN(G9,MIN(N($E9)*Paramètres!$C$17,Paramètres!$D$17))+MIN(H9,MIN(N($E9)*Paramètres!$C$18,Paramètres!$D$18))</f>
        <v>53215</v>
      </c>
      <c r="M9" s="11">
        <f>MIN(N($E9),Paramètres!$C$7)*Paramètres!$C$6</f>
        <v>9756.2849999999999</v>
      </c>
      <c r="N9" s="11">
        <f>MIN(M9,I9*Paramètres!$C$8)</f>
        <v>9756.2849999999999</v>
      </c>
      <c r="O9" s="11">
        <f>I9*IF(K9="Cadre supérieur",Paramètres!$C$10,Paramètres!$C$9)</f>
        <v>31043</v>
      </c>
      <c r="P9" s="11">
        <f t="shared" si="1"/>
        <v>83300</v>
      </c>
      <c r="Q9" s="11">
        <f>SUMPRODUCT((P9&gt;Paramètres!$B$21:$B$27)*(P9-Paramètres!$B$21:$B$27)*Paramètres!$E$21:$E$27)</f>
        <v>7108.1</v>
      </c>
      <c r="R9" s="11">
        <f>Q9*INDEX(Paramètres!$C$31:$C$38,MIN(MAX(INT(N(J9)),0),7)+1)</f>
        <v>0</v>
      </c>
      <c r="S9" s="14">
        <f t="shared" si="2"/>
        <v>7108</v>
      </c>
      <c r="T9" s="11">
        <f>ROUND(N($E9)*Paramètres!$C$13,0)</f>
        <v>5322</v>
      </c>
      <c r="U9" s="11">
        <f>ROUND(MAX(0,N($E9)-(Q9-R9)-M9)*Paramètres!$C$12,0)</f>
        <v>1605</v>
      </c>
      <c r="V9" s="14">
        <f t="shared" si="3"/>
        <v>158918</v>
      </c>
    </row>
    <row r="10" spans="2:22" ht="17.25" customHeight="1" x14ac:dyDescent="0.35">
      <c r="B10" s="7">
        <v>4</v>
      </c>
      <c r="C10" s="8" t="s">
        <v>29</v>
      </c>
      <c r="D10" s="9">
        <v>45677</v>
      </c>
      <c r="E10" s="40">
        <v>346515</v>
      </c>
      <c r="F10" s="11">
        <f>MIN(ROUNDDOWN(N($E10)*Paramètres!$C$16,0),Paramètres!$D$16)</f>
        <v>69303</v>
      </c>
      <c r="G10" s="11">
        <f>MIN(ROUNDDOWN(N($E10)*Paramètres!$C$17,0),Paramètres!$D$17)</f>
        <v>17325</v>
      </c>
      <c r="H10" s="11">
        <f>MIN(ROUNDDOWN(N($E10)*Paramètres!$C$18,0),Paramètres!$D$18)</f>
        <v>17325</v>
      </c>
      <c r="I10" s="11">
        <f t="shared" si="0"/>
        <v>242562</v>
      </c>
      <c r="J10" s="12">
        <v>0</v>
      </c>
      <c r="K10" s="13" t="str">
        <f>IF(I10&lt;Paramètres!$C$11,"Cadre inférieur","Cadre supérieur")</f>
        <v>Cadre supérieur</v>
      </c>
      <c r="L10" s="11">
        <f>MIN(F10,MIN(N($E10)*Paramètres!$C$16,Paramètres!$D$16))+MIN(G10,MIN(N($E10)*Paramètres!$C$17,Paramètres!$D$17))+MIN(H10,MIN(N($E10)*Paramètres!$C$18,Paramètres!$D$18))</f>
        <v>103953</v>
      </c>
      <c r="M10" s="11">
        <f>MIN(N($E10),Paramètres!$C$7)*Paramètres!$C$6</f>
        <v>19058.325000000001</v>
      </c>
      <c r="N10" s="11">
        <f>MIN(M10,I10*Paramètres!$C$8)</f>
        <v>19058.325000000001</v>
      </c>
      <c r="O10" s="11">
        <f>I10*IF(K10="Cadre supérieur",Paramètres!$C$10,Paramètres!$C$9)</f>
        <v>48512.4</v>
      </c>
      <c r="P10" s="11">
        <f t="shared" si="1"/>
        <v>174900</v>
      </c>
      <c r="Q10" s="11">
        <f>SUMPRODUCT((P10&gt;Paramètres!$B$21:$B$27)*(P10-Paramètres!$B$21:$B$27)*Paramètres!$E$21:$E$27)</f>
        <v>23133.299999999996</v>
      </c>
      <c r="R10" s="11">
        <f>Q10*INDEX(Paramètres!$C$31:$C$38,MIN(MAX(INT(N(J10)),0),7)+1)</f>
        <v>0</v>
      </c>
      <c r="S10" s="14">
        <f t="shared" si="2"/>
        <v>23133</v>
      </c>
      <c r="T10" s="11">
        <f>ROUND(N($E10)*Paramètres!$C$13,0)</f>
        <v>10395</v>
      </c>
      <c r="U10" s="11">
        <f>ROUND(MAX(0,N($E10)-(Q10-R10)-M10)*Paramètres!$C$12,0)</f>
        <v>3043</v>
      </c>
      <c r="V10" s="14">
        <f t="shared" si="3"/>
        <v>301281</v>
      </c>
    </row>
    <row r="11" spans="2:22" ht="17.25" customHeight="1" x14ac:dyDescent="0.35">
      <c r="B11" s="7">
        <v>5</v>
      </c>
      <c r="C11" s="8" t="s">
        <v>30</v>
      </c>
      <c r="D11" s="9">
        <v>46023</v>
      </c>
      <c r="E11" s="40">
        <v>165340</v>
      </c>
      <c r="F11" s="11">
        <f>MIN(ROUNDDOWN(N($E11)*Paramètres!$C$16,0),Paramètres!$D$16)</f>
        <v>33068</v>
      </c>
      <c r="G11" s="11">
        <f>MIN(ROUNDDOWN(N($E11)*Paramètres!$C$17,0),Paramètres!$D$17)</f>
        <v>8267</v>
      </c>
      <c r="H11" s="11">
        <f>MIN(ROUNDDOWN(N($E11)*Paramètres!$C$18,0),Paramètres!$D$18)</f>
        <v>8267</v>
      </c>
      <c r="I11" s="11">
        <f t="shared" si="0"/>
        <v>115738</v>
      </c>
      <c r="J11" s="12">
        <v>0</v>
      </c>
      <c r="K11" s="13" t="str">
        <f>IF(I11&lt;Paramètres!$C$11,"Cadre inférieur","Cadre supérieur")</f>
        <v>Cadre inférieur</v>
      </c>
      <c r="L11" s="11">
        <f>MIN(F11,MIN(N($E11)*Paramètres!$C$16,Paramètres!$D$16))+MIN(G11,MIN(N($E11)*Paramètres!$C$17,Paramètres!$D$17))+MIN(H11,MIN(N($E11)*Paramètres!$C$18,Paramètres!$D$18))</f>
        <v>49602</v>
      </c>
      <c r="M11" s="11">
        <f>MIN(N($E11),Paramètres!$C$7)*Paramètres!$C$6</f>
        <v>9093.7000000000007</v>
      </c>
      <c r="N11" s="11">
        <f>MIN(M11,I11*Paramètres!$C$8)</f>
        <v>9093.7000000000007</v>
      </c>
      <c r="O11" s="11">
        <f>I11*IF(K11="Cadre supérieur",Paramètres!$C$10,Paramètres!$C$9)</f>
        <v>28934.5</v>
      </c>
      <c r="P11" s="11">
        <f t="shared" si="1"/>
        <v>77700</v>
      </c>
      <c r="Q11" s="11">
        <f>SUMPRODUCT((P11&gt;Paramètres!$B$21:$B$27)*(P11-Paramètres!$B$21:$B$27)*Paramètres!$E$21:$E$27)</f>
        <v>6270.3</v>
      </c>
      <c r="R11" s="11">
        <f>Q11*INDEX(Paramètres!$C$31:$C$38,MIN(MAX(INT(N(J11)),0),7)+1)</f>
        <v>0</v>
      </c>
      <c r="S11" s="14">
        <f t="shared" si="2"/>
        <v>6270</v>
      </c>
      <c r="T11" s="11">
        <f>ROUND(N($E11)*Paramètres!$C$13,0)</f>
        <v>4960</v>
      </c>
      <c r="U11" s="11">
        <f>ROUND(MAX(0,N($E11)-(Q11-R11)-M11)*Paramètres!$C$12,0)</f>
        <v>1500</v>
      </c>
      <c r="V11" s="14">
        <f t="shared" si="3"/>
        <v>148476</v>
      </c>
    </row>
    <row r="12" spans="2:22" ht="17.25" customHeight="1" x14ac:dyDescent="0.35">
      <c r="B12" s="7">
        <v>6</v>
      </c>
      <c r="C12" s="8" t="s">
        <v>31</v>
      </c>
      <c r="D12" s="9">
        <v>46217</v>
      </c>
      <c r="E12" s="40">
        <v>177387</v>
      </c>
      <c r="F12" s="11">
        <f>MIN(ROUNDDOWN(N($E12)*Paramètres!$C$16,0),Paramètres!$D$16)</f>
        <v>35477</v>
      </c>
      <c r="G12" s="11">
        <f>MIN(ROUNDDOWN(N($E12)*Paramètres!$C$17,0),Paramètres!$D$17)</f>
        <v>8869</v>
      </c>
      <c r="H12" s="11">
        <f>MIN(ROUNDDOWN(N($E12)*Paramètres!$C$18,0),Paramètres!$D$18)</f>
        <v>8869</v>
      </c>
      <c r="I12" s="11">
        <f t="shared" si="0"/>
        <v>124172</v>
      </c>
      <c r="J12" s="12">
        <v>0</v>
      </c>
      <c r="K12" s="13" t="str">
        <f>IF(I12&lt;Paramètres!$C$11,"Cadre inférieur","Cadre supérieur")</f>
        <v>Cadre inférieur</v>
      </c>
      <c r="L12" s="11">
        <f>MIN(F12,MIN(N($E12)*Paramètres!$C$16,Paramètres!$D$16))+MIN(G12,MIN(N($E12)*Paramètres!$C$17,Paramètres!$D$17))+MIN(H12,MIN(N($E12)*Paramètres!$C$18,Paramètres!$D$18))</f>
        <v>53215</v>
      </c>
      <c r="M12" s="11">
        <f>MIN(N($E12),Paramètres!$C$7)*Paramètres!$C$6</f>
        <v>9756.2849999999999</v>
      </c>
      <c r="N12" s="11">
        <f>MIN(M12,I12*Paramètres!$C$8)</f>
        <v>9756.2849999999999</v>
      </c>
      <c r="O12" s="11">
        <f>I12*IF(K12="Cadre supérieur",Paramètres!$C$10,Paramètres!$C$9)</f>
        <v>31043</v>
      </c>
      <c r="P12" s="11">
        <f t="shared" si="1"/>
        <v>83300</v>
      </c>
      <c r="Q12" s="11">
        <f>SUMPRODUCT((P12&gt;Paramètres!$B$21:$B$27)*(P12-Paramètres!$B$21:$B$27)*Paramètres!$E$21:$E$27)</f>
        <v>7108.1</v>
      </c>
      <c r="R12" s="11">
        <f>Q12*INDEX(Paramètres!$C$31:$C$38,MIN(MAX(INT(N(J12)),0),7)+1)</f>
        <v>0</v>
      </c>
      <c r="S12" s="14">
        <f t="shared" si="2"/>
        <v>7108</v>
      </c>
      <c r="T12" s="11">
        <f>ROUND(N($E12)*Paramètres!$C$13,0)</f>
        <v>5322</v>
      </c>
      <c r="U12" s="11">
        <f>ROUND(MAX(0,N($E12)-(Q12-R12)-M12)*Paramètres!$C$12,0)</f>
        <v>1605</v>
      </c>
      <c r="V12" s="14">
        <f t="shared" si="3"/>
        <v>158918</v>
      </c>
    </row>
    <row r="13" spans="2:22" ht="17.25" customHeight="1" x14ac:dyDescent="0.35">
      <c r="B13" s="7">
        <v>7</v>
      </c>
      <c r="C13" s="8" t="s">
        <v>32</v>
      </c>
      <c r="D13" s="9">
        <v>46174</v>
      </c>
      <c r="E13" s="40">
        <v>195484</v>
      </c>
      <c r="F13" s="11">
        <f>MIN(ROUNDDOWN(N($E13)*Paramètres!$C$16,0),Paramètres!$D$16)</f>
        <v>39096</v>
      </c>
      <c r="G13" s="11">
        <f>MIN(ROUNDDOWN(N($E13)*Paramètres!$C$17,0),Paramètres!$D$17)</f>
        <v>9774</v>
      </c>
      <c r="H13" s="11">
        <f>MIN(ROUNDDOWN(N($E13)*Paramètres!$C$18,0),Paramètres!$D$18)</f>
        <v>9774</v>
      </c>
      <c r="I13" s="11">
        <f t="shared" si="0"/>
        <v>136840</v>
      </c>
      <c r="J13" s="12">
        <v>0</v>
      </c>
      <c r="K13" s="13" t="str">
        <f>IF(I13&lt;Paramètres!$C$11,"Cadre inférieur","Cadre supérieur")</f>
        <v>Cadre inférieur</v>
      </c>
      <c r="L13" s="11">
        <f>MIN(F13,MIN(N($E13)*Paramètres!$C$16,Paramètres!$D$16))+MIN(G13,MIN(N($E13)*Paramètres!$C$17,Paramètres!$D$17))+MIN(H13,MIN(N($E13)*Paramètres!$C$18,Paramètres!$D$18))</f>
        <v>58644</v>
      </c>
      <c r="M13" s="11">
        <f>MIN(N($E13),Paramètres!$C$7)*Paramètres!$C$6</f>
        <v>10751.62</v>
      </c>
      <c r="N13" s="11">
        <f>MIN(M13,I13*Paramètres!$C$8)</f>
        <v>10751.62</v>
      </c>
      <c r="O13" s="11">
        <f>I13*IF(K13="Cadre supérieur",Paramètres!$C$10,Paramètres!$C$9)</f>
        <v>34210</v>
      </c>
      <c r="P13" s="11">
        <f t="shared" si="1"/>
        <v>91800</v>
      </c>
      <c r="Q13" s="11">
        <f>SUMPRODUCT((P13&gt;Paramètres!$B$21:$B$27)*(P13-Paramètres!$B$21:$B$27)*Paramètres!$E$21:$E$27)</f>
        <v>8442.6</v>
      </c>
      <c r="R13" s="11">
        <f>Q13*INDEX(Paramètres!$C$31:$C$38,MIN(MAX(INT(N(J13)),0),7)+1)</f>
        <v>0</v>
      </c>
      <c r="S13" s="14">
        <f t="shared" si="2"/>
        <v>8443</v>
      </c>
      <c r="T13" s="11">
        <f>ROUND(N($E13)*Paramètres!$C$13,0)</f>
        <v>5865</v>
      </c>
      <c r="U13" s="11">
        <f>ROUND(MAX(0,N($E13)-(Q13-R13)-M13)*Paramètres!$C$12,0)</f>
        <v>1763</v>
      </c>
      <c r="V13" s="14">
        <f t="shared" si="3"/>
        <v>174526</v>
      </c>
    </row>
    <row r="14" spans="2:22" ht="17.25" customHeight="1" x14ac:dyDescent="0.35">
      <c r="B14" s="7">
        <v>8</v>
      </c>
      <c r="C14" s="8" t="s">
        <v>33</v>
      </c>
      <c r="D14" s="9">
        <v>45778</v>
      </c>
      <c r="E14" s="40">
        <v>213566</v>
      </c>
      <c r="F14" s="11">
        <f>MIN(ROUNDDOWN(N($E14)*Paramètres!$C$16,0),Paramètres!$D$16)</f>
        <v>42713</v>
      </c>
      <c r="G14" s="11">
        <f>MIN(ROUNDDOWN(N($E14)*Paramètres!$C$17,0),Paramètres!$D$17)</f>
        <v>10678</v>
      </c>
      <c r="H14" s="11">
        <f>MIN(ROUNDDOWN(N($E14)*Paramètres!$C$18,0),Paramètres!$D$18)</f>
        <v>10678</v>
      </c>
      <c r="I14" s="11">
        <f t="shared" si="0"/>
        <v>149497</v>
      </c>
      <c r="J14" s="12">
        <v>0</v>
      </c>
      <c r="K14" s="13" t="str">
        <f>IF(I14&lt;Paramètres!$C$11,"Cadre inférieur","Cadre supérieur")</f>
        <v>Cadre inférieur</v>
      </c>
      <c r="L14" s="11">
        <f>MIN(F14,MIN(N($E14)*Paramètres!$C$16,Paramètres!$D$16))+MIN(G14,MIN(N($E14)*Paramètres!$C$17,Paramètres!$D$17))+MIN(H14,MIN(N($E14)*Paramètres!$C$18,Paramètres!$D$18))</f>
        <v>64069</v>
      </c>
      <c r="M14" s="11">
        <f>MIN(N($E14),Paramètres!$C$7)*Paramètres!$C$6</f>
        <v>11746.13</v>
      </c>
      <c r="N14" s="11">
        <f>MIN(M14,I14*Paramètres!$C$8)</f>
        <v>11746.13</v>
      </c>
      <c r="O14" s="11">
        <f>I14*IF(K14="Cadre supérieur",Paramètres!$C$10,Paramètres!$C$9)</f>
        <v>37374.25</v>
      </c>
      <c r="P14" s="11">
        <f t="shared" si="1"/>
        <v>100300</v>
      </c>
      <c r="Q14" s="11">
        <f>SUMPRODUCT((P14&gt;Paramètres!$B$21:$B$27)*(P14-Paramètres!$B$21:$B$27)*Paramètres!$E$21:$E$27)</f>
        <v>9777.1</v>
      </c>
      <c r="R14" s="11">
        <f>Q14*INDEX(Paramètres!$C$31:$C$38,MIN(MAX(INT(N(J14)),0),7)+1)</f>
        <v>0</v>
      </c>
      <c r="S14" s="14">
        <f t="shared" si="2"/>
        <v>9777</v>
      </c>
      <c r="T14" s="11">
        <f>ROUND(N($E14)*Paramètres!$C$13,0)</f>
        <v>6407</v>
      </c>
      <c r="U14" s="11">
        <f>ROUND(MAX(0,N($E14)-(Q14-R14)-M14)*Paramètres!$C$12,0)</f>
        <v>1920</v>
      </c>
      <c r="V14" s="14">
        <f t="shared" si="3"/>
        <v>190123</v>
      </c>
    </row>
    <row r="15" spans="2:22" ht="17.25" customHeight="1" x14ac:dyDescent="0.35">
      <c r="B15" s="7">
        <v>9</v>
      </c>
      <c r="C15" s="8" t="s">
        <v>34</v>
      </c>
      <c r="D15" s="9">
        <v>46250</v>
      </c>
      <c r="E15" s="40">
        <v>225778</v>
      </c>
      <c r="F15" s="11">
        <f>MIN(ROUNDDOWN(N($E15)*Paramètres!$C$16,0),Paramètres!$D$16)</f>
        <v>45155</v>
      </c>
      <c r="G15" s="11">
        <f>MIN(ROUNDDOWN(N($E15)*Paramètres!$C$17,0),Paramètres!$D$17)</f>
        <v>11288</v>
      </c>
      <c r="H15" s="11">
        <f>MIN(ROUNDDOWN(N($E15)*Paramètres!$C$18,0),Paramètres!$D$18)</f>
        <v>11288</v>
      </c>
      <c r="I15" s="11">
        <f t="shared" si="0"/>
        <v>158047</v>
      </c>
      <c r="J15" s="12">
        <v>0</v>
      </c>
      <c r="K15" s="13" t="str">
        <f>IF(I15&lt;Paramètres!$C$11,"Cadre inférieur","Cadre supérieur")</f>
        <v>Cadre supérieur</v>
      </c>
      <c r="L15" s="11">
        <f>MIN(F15,MIN(N($E15)*Paramètres!$C$16,Paramètres!$D$16))+MIN(G15,MIN(N($E15)*Paramètres!$C$17,Paramètres!$D$17))+MIN(H15,MIN(N($E15)*Paramètres!$C$18,Paramètres!$D$18))</f>
        <v>67731</v>
      </c>
      <c r="M15" s="11">
        <f>MIN(N($E15),Paramètres!$C$7)*Paramètres!$C$6</f>
        <v>12417.79</v>
      </c>
      <c r="N15" s="11">
        <f>MIN(M15,I15*Paramètres!$C$8)</f>
        <v>12417.79</v>
      </c>
      <c r="O15" s="11">
        <f>I15*IF(K15="Cadre supérieur",Paramètres!$C$10,Paramètres!$C$9)</f>
        <v>31609.4</v>
      </c>
      <c r="P15" s="11">
        <f t="shared" si="1"/>
        <v>114000</v>
      </c>
      <c r="Q15" s="11">
        <f>SUMPRODUCT((P15&gt;Paramètres!$B$21:$B$27)*(P15-Paramètres!$B$21:$B$27)*Paramètres!$E$21:$E$27)</f>
        <v>11928</v>
      </c>
      <c r="R15" s="11">
        <f>Q15*INDEX(Paramètres!$C$31:$C$38,MIN(MAX(INT(N(J15)),0),7)+1)</f>
        <v>0</v>
      </c>
      <c r="S15" s="14">
        <f t="shared" si="2"/>
        <v>11928</v>
      </c>
      <c r="T15" s="11">
        <f>ROUND(N($E15)*Paramètres!$C$13,0)</f>
        <v>6773</v>
      </c>
      <c r="U15" s="11">
        <f>ROUND(MAX(0,N($E15)-(Q15-R15)-M15)*Paramètres!$C$12,0)</f>
        <v>2014</v>
      </c>
      <c r="V15" s="14">
        <f t="shared" si="3"/>
        <v>199418</v>
      </c>
    </row>
    <row r="16" spans="2:22" ht="17.25" customHeight="1" x14ac:dyDescent="0.35">
      <c r="B16" s="7">
        <v>10</v>
      </c>
      <c r="C16" s="8" t="s">
        <v>35</v>
      </c>
      <c r="D16" s="9">
        <v>45778</v>
      </c>
      <c r="E16" s="40">
        <v>213563</v>
      </c>
      <c r="F16" s="11">
        <f>MIN(ROUNDDOWN(N($E16)*Paramètres!$C$16,0),Paramètres!$D$16)</f>
        <v>42712</v>
      </c>
      <c r="G16" s="11">
        <f>MIN(ROUNDDOWN(N($E16)*Paramètres!$C$17,0),Paramètres!$D$17)</f>
        <v>10678</v>
      </c>
      <c r="H16" s="11">
        <f>MIN(ROUNDDOWN(N($E16)*Paramètres!$C$18,0),Paramètres!$D$18)</f>
        <v>10678</v>
      </c>
      <c r="I16" s="11">
        <f t="shared" si="0"/>
        <v>149495</v>
      </c>
      <c r="J16" s="12">
        <v>0</v>
      </c>
      <c r="K16" s="13" t="str">
        <f>IF(I16&lt;Paramètres!$C$11,"Cadre inférieur","Cadre supérieur")</f>
        <v>Cadre inférieur</v>
      </c>
      <c r="L16" s="11">
        <f>MIN(F16,MIN(N($E16)*Paramètres!$C$16,Paramètres!$D$16))+MIN(G16,MIN(N($E16)*Paramètres!$C$17,Paramètres!$D$17))+MIN(H16,MIN(N($E16)*Paramètres!$C$18,Paramètres!$D$18))</f>
        <v>64068</v>
      </c>
      <c r="M16" s="11">
        <f>MIN(N($E16),Paramètres!$C$7)*Paramètres!$C$6</f>
        <v>11745.965</v>
      </c>
      <c r="N16" s="11">
        <f>MIN(M16,I16*Paramètres!$C$8)</f>
        <v>11745.965</v>
      </c>
      <c r="O16" s="11">
        <f>I16*IF(K16="Cadre supérieur",Paramètres!$C$10,Paramètres!$C$9)</f>
        <v>37373.75</v>
      </c>
      <c r="P16" s="11">
        <f t="shared" si="1"/>
        <v>100300</v>
      </c>
      <c r="Q16" s="11">
        <f>SUMPRODUCT((P16&gt;Paramètres!$B$21:$B$27)*(P16-Paramètres!$B$21:$B$27)*Paramètres!$E$21:$E$27)</f>
        <v>9777.1</v>
      </c>
      <c r="R16" s="11">
        <f>Q16*INDEX(Paramètres!$C$31:$C$38,MIN(MAX(INT(N(J16)),0),7)+1)</f>
        <v>0</v>
      </c>
      <c r="S16" s="14">
        <f t="shared" si="2"/>
        <v>9777</v>
      </c>
      <c r="T16" s="11">
        <f>ROUND(N($E16)*Paramètres!$C$13,0)</f>
        <v>6407</v>
      </c>
      <c r="U16" s="11">
        <f>ROUND(MAX(0,N($E16)-(Q16-R16)-M16)*Paramètres!$C$12,0)</f>
        <v>1920</v>
      </c>
      <c r="V16" s="14">
        <f t="shared" si="3"/>
        <v>190120</v>
      </c>
    </row>
    <row r="17" spans="2:22" ht="17.25" customHeight="1" x14ac:dyDescent="0.35">
      <c r="B17" s="7">
        <v>11</v>
      </c>
      <c r="C17" s="8" t="s">
        <v>36</v>
      </c>
      <c r="D17" s="9">
        <v>45778</v>
      </c>
      <c r="E17" s="40">
        <v>213563</v>
      </c>
      <c r="F17" s="11">
        <f>MIN(ROUNDDOWN(N($E17)*Paramètres!$C$16,0),Paramètres!$D$16)</f>
        <v>42712</v>
      </c>
      <c r="G17" s="11">
        <f>MIN(ROUNDDOWN(N($E17)*Paramètres!$C$17,0),Paramètres!$D$17)</f>
        <v>10678</v>
      </c>
      <c r="H17" s="11">
        <f>MIN(ROUNDDOWN(N($E17)*Paramètres!$C$18,0),Paramètres!$D$18)</f>
        <v>10678</v>
      </c>
      <c r="I17" s="11">
        <f t="shared" si="0"/>
        <v>149495</v>
      </c>
      <c r="J17" s="12">
        <v>0</v>
      </c>
      <c r="K17" s="13" t="str">
        <f>IF(I17&lt;Paramètres!$C$11,"Cadre inférieur","Cadre supérieur")</f>
        <v>Cadre inférieur</v>
      </c>
      <c r="L17" s="11">
        <f>MIN(F17,MIN(N($E17)*Paramètres!$C$16,Paramètres!$D$16))+MIN(G17,MIN(N($E17)*Paramètres!$C$17,Paramètres!$D$17))+MIN(H17,MIN(N($E17)*Paramètres!$C$18,Paramètres!$D$18))</f>
        <v>64068</v>
      </c>
      <c r="M17" s="11">
        <f>MIN(N($E17),Paramètres!$C$7)*Paramètres!$C$6</f>
        <v>11745.965</v>
      </c>
      <c r="N17" s="11">
        <f>MIN(M17,I17*Paramètres!$C$8)</f>
        <v>11745.965</v>
      </c>
      <c r="O17" s="11">
        <f>I17*IF(K17="Cadre supérieur",Paramètres!$C$10,Paramètres!$C$9)</f>
        <v>37373.75</v>
      </c>
      <c r="P17" s="11">
        <f t="shared" si="1"/>
        <v>100300</v>
      </c>
      <c r="Q17" s="11">
        <f>SUMPRODUCT((P17&gt;Paramètres!$B$21:$B$27)*(P17-Paramètres!$B$21:$B$27)*Paramètres!$E$21:$E$27)</f>
        <v>9777.1</v>
      </c>
      <c r="R17" s="11">
        <f>Q17*INDEX(Paramètres!$C$31:$C$38,MIN(MAX(INT(N(J17)),0),7)+1)</f>
        <v>0</v>
      </c>
      <c r="S17" s="14">
        <f t="shared" si="2"/>
        <v>9777</v>
      </c>
      <c r="T17" s="11">
        <f>ROUND(N($E17)*Paramètres!$C$13,0)</f>
        <v>6407</v>
      </c>
      <c r="U17" s="11">
        <f>ROUND(MAX(0,N($E17)-(Q17-R17)-M17)*Paramètres!$C$12,0)</f>
        <v>1920</v>
      </c>
      <c r="V17" s="14">
        <f t="shared" si="3"/>
        <v>190120</v>
      </c>
    </row>
    <row r="18" spans="2:22" ht="17.25" customHeight="1" x14ac:dyDescent="0.35">
      <c r="B18" s="7">
        <v>12</v>
      </c>
      <c r="C18" s="8" t="s">
        <v>37</v>
      </c>
      <c r="D18" s="9">
        <v>46183</v>
      </c>
      <c r="E18" s="40">
        <v>177387</v>
      </c>
      <c r="F18" s="11">
        <f>MIN(ROUNDDOWN(N($E18)*Paramètres!$C$16,0),Paramètres!$D$16)</f>
        <v>35477</v>
      </c>
      <c r="G18" s="11">
        <f>MIN(ROUNDDOWN(N($E18)*Paramètres!$C$17,0),Paramètres!$D$17)</f>
        <v>8869</v>
      </c>
      <c r="H18" s="11">
        <f>MIN(ROUNDDOWN(N($E18)*Paramètres!$C$18,0),Paramètres!$D$18)</f>
        <v>8869</v>
      </c>
      <c r="I18" s="11">
        <f t="shared" si="0"/>
        <v>124172</v>
      </c>
      <c r="J18" s="12">
        <v>0</v>
      </c>
      <c r="K18" s="13" t="str">
        <f>IF(I18&lt;Paramètres!$C$11,"Cadre inférieur","Cadre supérieur")</f>
        <v>Cadre inférieur</v>
      </c>
      <c r="L18" s="11">
        <f>MIN(F18,MIN(N($E18)*Paramètres!$C$16,Paramètres!$D$16))+MIN(G18,MIN(N($E18)*Paramètres!$C$17,Paramètres!$D$17))+MIN(H18,MIN(N($E18)*Paramètres!$C$18,Paramètres!$D$18))</f>
        <v>53215</v>
      </c>
      <c r="M18" s="11">
        <f>MIN(N($E18),Paramètres!$C$7)*Paramètres!$C$6</f>
        <v>9756.2849999999999</v>
      </c>
      <c r="N18" s="11">
        <f>MIN(M18,I18*Paramètres!$C$8)</f>
        <v>9756.2849999999999</v>
      </c>
      <c r="O18" s="11">
        <f>I18*IF(K18="Cadre supérieur",Paramètres!$C$10,Paramètres!$C$9)</f>
        <v>31043</v>
      </c>
      <c r="P18" s="11">
        <f t="shared" si="1"/>
        <v>83300</v>
      </c>
      <c r="Q18" s="11">
        <f>SUMPRODUCT((P18&gt;Paramètres!$B$21:$B$27)*(P18-Paramètres!$B$21:$B$27)*Paramètres!$E$21:$E$27)</f>
        <v>7108.1</v>
      </c>
      <c r="R18" s="11">
        <f>Q18*INDEX(Paramètres!$C$31:$C$38,MIN(MAX(INT(N(J18)),0),7)+1)</f>
        <v>0</v>
      </c>
      <c r="S18" s="14">
        <f t="shared" si="2"/>
        <v>7108</v>
      </c>
      <c r="T18" s="11">
        <f>ROUND(N($E18)*Paramètres!$C$13,0)</f>
        <v>5322</v>
      </c>
      <c r="U18" s="11">
        <f>ROUND(MAX(0,N($E18)-(Q18-R18)-M18)*Paramètres!$C$12,0)</f>
        <v>1605</v>
      </c>
      <c r="V18" s="14">
        <f t="shared" si="3"/>
        <v>158918</v>
      </c>
    </row>
    <row r="19" spans="2:22" ht="17.25" customHeight="1" x14ac:dyDescent="0.35">
      <c r="B19" s="7">
        <v>13</v>
      </c>
      <c r="C19" s="8" t="s">
        <v>38</v>
      </c>
      <c r="D19" s="9"/>
      <c r="E19" s="40">
        <v>0</v>
      </c>
      <c r="F19" s="11">
        <f>MIN(ROUNDDOWN(N($E19)*Paramètres!$C$16,0),Paramètres!$D$16)</f>
        <v>0</v>
      </c>
      <c r="G19" s="11">
        <f>MIN(ROUNDDOWN(N($E19)*Paramètres!$C$17,0),Paramètres!$D$17)</f>
        <v>0</v>
      </c>
      <c r="H19" s="11">
        <f>MIN(ROUNDDOWN(N($E19)*Paramètres!$C$18,0),Paramètres!$D$18)</f>
        <v>0</v>
      </c>
      <c r="I19" s="11">
        <f t="shared" si="0"/>
        <v>0</v>
      </c>
      <c r="J19" s="12">
        <v>0</v>
      </c>
      <c r="K19" s="13" t="str">
        <f>IF(I19&lt;Paramètres!$C$11,"Cadre inférieur","Cadre supérieur")</f>
        <v>Cadre inférieur</v>
      </c>
      <c r="L19" s="11">
        <f>MIN(F19,MIN(N($E19)*Paramètres!$C$16,Paramètres!$D$16))+MIN(G19,MIN(N($E19)*Paramètres!$C$17,Paramètres!$D$17))+MIN(H19,MIN(N($E19)*Paramètres!$C$18,Paramètres!$D$18))</f>
        <v>0</v>
      </c>
      <c r="M19" s="11">
        <f>MIN(N($E19),Paramètres!$C$7)*Paramètres!$C$6</f>
        <v>0</v>
      </c>
      <c r="N19" s="11">
        <f>MIN(M19,I19*Paramètres!$C$8)</f>
        <v>0</v>
      </c>
      <c r="O19" s="11">
        <f>I19*IF(K19="Cadre supérieur",Paramètres!$C$10,Paramètres!$C$9)</f>
        <v>0</v>
      </c>
      <c r="P19" s="11">
        <f t="shared" si="1"/>
        <v>0</v>
      </c>
      <c r="Q19" s="11">
        <f>SUMPRODUCT((P19&gt;Paramètres!$B$21:$B$27)*(P19-Paramètres!$B$21:$B$27)*Paramètres!$E$21:$E$27)</f>
        <v>0</v>
      </c>
      <c r="R19" s="11">
        <f>Q19*INDEX(Paramètres!$C$31:$C$38,MIN(MAX(INT(N(J19)),0),7)+1)</f>
        <v>0</v>
      </c>
      <c r="S19" s="14">
        <f t="shared" si="2"/>
        <v>0</v>
      </c>
      <c r="T19" s="11">
        <f>ROUND(N($E19)*Paramètres!$C$13,0)</f>
        <v>0</v>
      </c>
      <c r="U19" s="11">
        <f>ROUND(MAX(0,N($E19)-(Q19-R19)-M19)*Paramètres!$C$12,0)</f>
        <v>0</v>
      </c>
      <c r="V19" s="14">
        <f t="shared" si="3"/>
        <v>0</v>
      </c>
    </row>
    <row r="20" spans="2:22" ht="17.25" customHeight="1" x14ac:dyDescent="0.35">
      <c r="B20" s="7">
        <v>14</v>
      </c>
      <c r="C20" s="8" t="s">
        <v>39</v>
      </c>
      <c r="D20" s="9">
        <v>45950</v>
      </c>
      <c r="E20" s="40">
        <v>177387</v>
      </c>
      <c r="F20" s="11">
        <f>MIN(ROUNDDOWN(N($E20)*Paramètres!$C$16,0),Paramètres!$D$16)</f>
        <v>35477</v>
      </c>
      <c r="G20" s="11">
        <f>MIN(ROUNDDOWN(N($E20)*Paramètres!$C$17,0),Paramètres!$D$17)</f>
        <v>8869</v>
      </c>
      <c r="H20" s="11">
        <f>MIN(ROUNDDOWN(N($E20)*Paramètres!$C$18,0),Paramètres!$D$18)</f>
        <v>8869</v>
      </c>
      <c r="I20" s="11">
        <f t="shared" si="0"/>
        <v>124172</v>
      </c>
      <c r="J20" s="12">
        <v>0</v>
      </c>
      <c r="K20" s="13" t="str">
        <f>IF(I20&lt;Paramètres!$C$11,"Cadre inférieur","Cadre supérieur")</f>
        <v>Cadre inférieur</v>
      </c>
      <c r="L20" s="11">
        <f>MIN(F20,MIN(N($E20)*Paramètres!$C$16,Paramètres!$D$16))+MIN(G20,MIN(N($E20)*Paramètres!$C$17,Paramètres!$D$17))+MIN(H20,MIN(N($E20)*Paramètres!$C$18,Paramètres!$D$18))</f>
        <v>53215</v>
      </c>
      <c r="M20" s="11">
        <f>MIN(N($E20),Paramètres!$C$7)*Paramètres!$C$6</f>
        <v>9756.2849999999999</v>
      </c>
      <c r="N20" s="11">
        <f>MIN(M20,I20*Paramètres!$C$8)</f>
        <v>9756.2849999999999</v>
      </c>
      <c r="O20" s="11">
        <f>I20*IF(K20="Cadre supérieur",Paramètres!$C$10,Paramètres!$C$9)</f>
        <v>31043</v>
      </c>
      <c r="P20" s="11">
        <f t="shared" si="1"/>
        <v>83300</v>
      </c>
      <c r="Q20" s="11">
        <f>SUMPRODUCT((P20&gt;Paramètres!$B$21:$B$27)*(P20-Paramètres!$B$21:$B$27)*Paramètres!$E$21:$E$27)</f>
        <v>7108.1</v>
      </c>
      <c r="R20" s="11">
        <f>Q20*INDEX(Paramètres!$C$31:$C$38,MIN(MAX(INT(N(J20)),0),7)+1)</f>
        <v>0</v>
      </c>
      <c r="S20" s="14">
        <f t="shared" si="2"/>
        <v>7108</v>
      </c>
      <c r="T20" s="11">
        <f>ROUND(N($E20)*Paramètres!$C$13,0)</f>
        <v>5322</v>
      </c>
      <c r="U20" s="11">
        <f>ROUND(MAX(0,N($E20)-(Q20-R20)-M20)*Paramètres!$C$12,0)</f>
        <v>1605</v>
      </c>
      <c r="V20" s="14">
        <f t="shared" si="3"/>
        <v>158918</v>
      </c>
    </row>
    <row r="21" spans="2:22" ht="17.25" customHeight="1" x14ac:dyDescent="0.35">
      <c r="B21" s="7">
        <v>15</v>
      </c>
      <c r="C21" s="8" t="s">
        <v>40</v>
      </c>
      <c r="D21" s="9">
        <v>46183</v>
      </c>
      <c r="E21" s="40">
        <v>177387</v>
      </c>
      <c r="F21" s="11">
        <f>MIN(ROUNDDOWN(N($E21)*Paramètres!$C$16,0),Paramètres!$D$16)</f>
        <v>35477</v>
      </c>
      <c r="G21" s="11">
        <f>MIN(ROUNDDOWN(N($E21)*Paramètres!$C$17,0),Paramètres!$D$17)</f>
        <v>8869</v>
      </c>
      <c r="H21" s="11">
        <f>MIN(ROUNDDOWN(N($E21)*Paramètres!$C$18,0),Paramètres!$D$18)</f>
        <v>8869</v>
      </c>
      <c r="I21" s="11">
        <f t="shared" si="0"/>
        <v>124172</v>
      </c>
      <c r="J21" s="12">
        <v>0</v>
      </c>
      <c r="K21" s="13" t="str">
        <f>IF(I21&lt;Paramètres!$C$11,"Cadre inférieur","Cadre supérieur")</f>
        <v>Cadre inférieur</v>
      </c>
      <c r="L21" s="11">
        <f>MIN(F21,MIN(N($E21)*Paramètres!$C$16,Paramètres!$D$16))+MIN(G21,MIN(N($E21)*Paramètres!$C$17,Paramètres!$D$17))+MIN(H21,MIN(N($E21)*Paramètres!$C$18,Paramètres!$D$18))</f>
        <v>53215</v>
      </c>
      <c r="M21" s="11">
        <f>MIN(N($E21),Paramètres!$C$7)*Paramètres!$C$6</f>
        <v>9756.2849999999999</v>
      </c>
      <c r="N21" s="11">
        <f>MIN(M21,I21*Paramètres!$C$8)</f>
        <v>9756.2849999999999</v>
      </c>
      <c r="O21" s="11">
        <f>I21*IF(K21="Cadre supérieur",Paramètres!$C$10,Paramètres!$C$9)</f>
        <v>31043</v>
      </c>
      <c r="P21" s="11">
        <f t="shared" si="1"/>
        <v>83300</v>
      </c>
      <c r="Q21" s="11">
        <f>SUMPRODUCT((P21&gt;Paramètres!$B$21:$B$27)*(P21-Paramètres!$B$21:$B$27)*Paramètres!$E$21:$E$27)</f>
        <v>7108.1</v>
      </c>
      <c r="R21" s="11">
        <f>Q21*INDEX(Paramètres!$C$31:$C$38,MIN(MAX(INT(N(J21)),0),7)+1)</f>
        <v>0</v>
      </c>
      <c r="S21" s="14">
        <f t="shared" si="2"/>
        <v>7108</v>
      </c>
      <c r="T21" s="11">
        <f>ROUND(N($E21)*Paramètres!$C$13,0)</f>
        <v>5322</v>
      </c>
      <c r="U21" s="11">
        <f>ROUND(MAX(0,N($E21)-(Q21-R21)-M21)*Paramètres!$C$12,0)</f>
        <v>1605</v>
      </c>
      <c r="V21" s="14">
        <f t="shared" si="3"/>
        <v>158918</v>
      </c>
    </row>
    <row r="22" spans="2:22" ht="17.25" customHeight="1" x14ac:dyDescent="0.35">
      <c r="B22" s="7">
        <v>16</v>
      </c>
      <c r="C22" s="8" t="s">
        <v>41</v>
      </c>
      <c r="D22" s="9">
        <v>46139</v>
      </c>
      <c r="E22" s="40">
        <v>135983</v>
      </c>
      <c r="F22" s="11">
        <f>MIN(ROUNDDOWN(N($E22)*Paramètres!$C$16,0),Paramètres!$D$16)</f>
        <v>27196</v>
      </c>
      <c r="G22" s="11">
        <f>MIN(ROUNDDOWN(N($E22)*Paramètres!$C$17,0),Paramètres!$D$17)</f>
        <v>6799</v>
      </c>
      <c r="H22" s="11">
        <f>MIN(ROUNDDOWN(N($E22)*Paramètres!$C$18,0),Paramètres!$D$18)</f>
        <v>6799</v>
      </c>
      <c r="I22" s="11">
        <f t="shared" si="0"/>
        <v>95189</v>
      </c>
      <c r="J22" s="12">
        <v>0</v>
      </c>
      <c r="K22" s="13" t="str">
        <f>IF(I22&lt;Paramètres!$C$11,"Cadre inférieur","Cadre supérieur")</f>
        <v>Cadre inférieur</v>
      </c>
      <c r="L22" s="11">
        <f>MIN(F22,MIN(N($E22)*Paramètres!$C$16,Paramètres!$D$16))+MIN(G22,MIN(N($E22)*Paramètres!$C$17,Paramètres!$D$17))+MIN(H22,MIN(N($E22)*Paramètres!$C$18,Paramètres!$D$18))</f>
        <v>40794</v>
      </c>
      <c r="M22" s="11">
        <f>MIN(N($E22),Paramètres!$C$7)*Paramètres!$C$6</f>
        <v>7479.0649999999996</v>
      </c>
      <c r="N22" s="11">
        <f>MIN(M22,I22*Paramètres!$C$8)</f>
        <v>7479.0649999999996</v>
      </c>
      <c r="O22" s="11">
        <f>I22*IF(K22="Cadre supérieur",Paramètres!$C$10,Paramètres!$C$9)</f>
        <v>23797.25</v>
      </c>
      <c r="P22" s="11">
        <f t="shared" si="1"/>
        <v>63900</v>
      </c>
      <c r="Q22" s="11">
        <f>SUMPRODUCT((P22&gt;Paramètres!$B$21:$B$27)*(P22-Paramètres!$B$21:$B$27)*Paramètres!$E$21:$E$27)</f>
        <v>4352.0999999999995</v>
      </c>
      <c r="R22" s="11">
        <f>Q22*INDEX(Paramètres!$C$31:$C$38,MIN(MAX(INT(N(J22)),0),7)+1)</f>
        <v>0</v>
      </c>
      <c r="S22" s="14">
        <f t="shared" si="2"/>
        <v>4352</v>
      </c>
      <c r="T22" s="11">
        <f>ROUND(N($E22)*Paramètres!$C$13,0)</f>
        <v>4079</v>
      </c>
      <c r="U22" s="11">
        <f>ROUND(MAX(0,N($E22)-(Q22-R22)-M22)*Paramètres!$C$12,0)</f>
        <v>1242</v>
      </c>
      <c r="V22" s="14">
        <f t="shared" si="3"/>
        <v>122910</v>
      </c>
    </row>
    <row r="23" spans="2:22" s="16" customFormat="1" ht="17.25" customHeight="1" x14ac:dyDescent="0.35">
      <c r="B23" s="7">
        <v>17</v>
      </c>
      <c r="C23" s="8" t="s">
        <v>42</v>
      </c>
      <c r="D23" s="9">
        <v>45809</v>
      </c>
      <c r="E23" s="40">
        <v>135983</v>
      </c>
      <c r="F23" s="11">
        <f>MIN(ROUNDDOWN(N($E23)*Paramètres!$C$16,0),Paramètres!$D$16)</f>
        <v>27196</v>
      </c>
      <c r="G23" s="11">
        <f>MIN(ROUNDDOWN(N($E23)*Paramètres!$C$17,0),Paramètres!$D$17)</f>
        <v>6799</v>
      </c>
      <c r="H23" s="11">
        <f>MIN(ROUNDDOWN(N($E23)*Paramètres!$C$18,0),Paramètres!$D$18)</f>
        <v>6799</v>
      </c>
      <c r="I23" s="11">
        <f t="shared" si="0"/>
        <v>95189</v>
      </c>
      <c r="J23" s="12">
        <v>0</v>
      </c>
      <c r="K23" s="13" t="str">
        <f>IF(I23&lt;Paramètres!$C$11,"Cadre inférieur","Cadre supérieur")</f>
        <v>Cadre inférieur</v>
      </c>
      <c r="L23" s="11">
        <f>MIN(F23,MIN(N($E23)*Paramètres!$C$16,Paramètres!$D$16))+MIN(G23,MIN(N($E23)*Paramètres!$C$17,Paramètres!$D$17))+MIN(H23,MIN(N($E23)*Paramètres!$C$18,Paramètres!$D$18))</f>
        <v>40794</v>
      </c>
      <c r="M23" s="11">
        <f>MIN(N($E23),Paramètres!$C$7)*Paramètres!$C$6</f>
        <v>7479.0649999999996</v>
      </c>
      <c r="N23" s="11">
        <f>MIN(M23,I23*Paramètres!$C$8)</f>
        <v>7479.0649999999996</v>
      </c>
      <c r="O23" s="11">
        <f>I23*IF(K23="Cadre supérieur",Paramètres!$C$10,Paramètres!$C$9)</f>
        <v>23797.25</v>
      </c>
      <c r="P23" s="11">
        <f t="shared" si="1"/>
        <v>63900</v>
      </c>
      <c r="Q23" s="11">
        <f>SUMPRODUCT((P23&gt;Paramètres!$B$21:$B$27)*(P23-Paramètres!$B$21:$B$27)*Paramètres!$E$21:$E$27)</f>
        <v>4352.0999999999995</v>
      </c>
      <c r="R23" s="11">
        <f>Q23*INDEX(Paramètres!$C$31:$C$38,MIN(MAX(INT(N(J23)),0),7)+1)</f>
        <v>0</v>
      </c>
      <c r="S23" s="14">
        <f t="shared" si="2"/>
        <v>4352</v>
      </c>
      <c r="T23" s="11">
        <f>ROUND(N($E23)*Paramètres!$C$13,0)</f>
        <v>4079</v>
      </c>
      <c r="U23" s="11">
        <f>ROUND(MAX(0,N($E23)-(Q23-R23)-M23)*Paramètres!$C$12,0)</f>
        <v>1242</v>
      </c>
      <c r="V23" s="14">
        <f t="shared" si="3"/>
        <v>122910</v>
      </c>
    </row>
    <row r="24" spans="2:22" s="15" customFormat="1" ht="17.25" customHeight="1" x14ac:dyDescent="0.35">
      <c r="B24" s="7">
        <v>18</v>
      </c>
      <c r="C24" s="8" t="s">
        <v>43</v>
      </c>
      <c r="D24" s="9">
        <v>46174</v>
      </c>
      <c r="E24" s="40">
        <v>177387</v>
      </c>
      <c r="F24" s="11">
        <f>MIN(ROUNDDOWN(N($E24)*Paramètres!$C$16,0),Paramètres!$D$16)</f>
        <v>35477</v>
      </c>
      <c r="G24" s="11">
        <f>MIN(ROUNDDOWN(N($E24)*Paramètres!$C$17,0),Paramètres!$D$17)</f>
        <v>8869</v>
      </c>
      <c r="H24" s="11">
        <f>MIN(ROUNDDOWN(N($E24)*Paramètres!$C$18,0),Paramètres!$D$18)</f>
        <v>8869</v>
      </c>
      <c r="I24" s="11">
        <f t="shared" si="0"/>
        <v>124172</v>
      </c>
      <c r="J24" s="12">
        <v>0</v>
      </c>
      <c r="K24" s="13" t="str">
        <f>IF(I24&lt;Paramètres!$C$11,"Cadre inférieur","Cadre supérieur")</f>
        <v>Cadre inférieur</v>
      </c>
      <c r="L24" s="11">
        <f>MIN(F24,MIN(N($E24)*Paramètres!$C$16,Paramètres!$D$16))+MIN(G24,MIN(N($E24)*Paramètres!$C$17,Paramètres!$D$17))+MIN(H24,MIN(N($E24)*Paramètres!$C$18,Paramètres!$D$18))</f>
        <v>53215</v>
      </c>
      <c r="M24" s="11">
        <f>MIN(N($E24),Paramètres!$C$7)*Paramètres!$C$6</f>
        <v>9756.2849999999999</v>
      </c>
      <c r="N24" s="11">
        <f>MIN(M24,I24*Paramètres!$C$8)</f>
        <v>9756.2849999999999</v>
      </c>
      <c r="O24" s="11">
        <f>I24*IF(K24="Cadre supérieur",Paramètres!$C$10,Paramètres!$C$9)</f>
        <v>31043</v>
      </c>
      <c r="P24" s="11">
        <f t="shared" si="1"/>
        <v>83300</v>
      </c>
      <c r="Q24" s="11">
        <f>SUMPRODUCT((P24&gt;Paramètres!$B$21:$B$27)*(P24-Paramètres!$B$21:$B$27)*Paramètres!$E$21:$E$27)</f>
        <v>7108.1</v>
      </c>
      <c r="R24" s="11">
        <f>Q24*INDEX(Paramètres!$C$31:$C$38,MIN(MAX(INT(N(J24)),0),7)+1)</f>
        <v>0</v>
      </c>
      <c r="S24" s="14">
        <f t="shared" si="2"/>
        <v>7108</v>
      </c>
      <c r="T24" s="11">
        <f>ROUND(N($E24)*Paramètres!$C$13,0)</f>
        <v>5322</v>
      </c>
      <c r="U24" s="11">
        <f>ROUND(MAX(0,N($E24)-(Q24-R24)-M24)*Paramètres!$C$12,0)</f>
        <v>1605</v>
      </c>
      <c r="V24" s="14">
        <f t="shared" si="3"/>
        <v>158918</v>
      </c>
    </row>
    <row r="25" spans="2:22" ht="17.25" customHeight="1" x14ac:dyDescent="0.35">
      <c r="B25" s="7">
        <v>19</v>
      </c>
      <c r="C25" s="8" t="s">
        <v>44</v>
      </c>
      <c r="D25" s="9">
        <v>45924</v>
      </c>
      <c r="E25" s="40">
        <v>177387</v>
      </c>
      <c r="F25" s="11">
        <f>MIN(ROUNDDOWN(N($E25)*Paramètres!$C$16,0),Paramètres!$D$16)</f>
        <v>35477</v>
      </c>
      <c r="G25" s="11">
        <f>MIN(ROUNDDOWN(N($E25)*Paramètres!$C$17,0),Paramètres!$D$17)</f>
        <v>8869</v>
      </c>
      <c r="H25" s="11">
        <f>MIN(ROUNDDOWN(N($E25)*Paramètres!$C$18,0),Paramètres!$D$18)</f>
        <v>8869</v>
      </c>
      <c r="I25" s="11">
        <f t="shared" si="0"/>
        <v>124172</v>
      </c>
      <c r="J25" s="12">
        <v>0</v>
      </c>
      <c r="K25" s="13" t="str">
        <f>IF(I25&lt;Paramètres!$C$11,"Cadre inférieur","Cadre supérieur")</f>
        <v>Cadre inférieur</v>
      </c>
      <c r="L25" s="11">
        <f>MIN(F25,MIN(N($E25)*Paramètres!$C$16,Paramètres!$D$16))+MIN(G25,MIN(N($E25)*Paramètres!$C$17,Paramètres!$D$17))+MIN(H25,MIN(N($E25)*Paramètres!$C$18,Paramètres!$D$18))</f>
        <v>53215</v>
      </c>
      <c r="M25" s="11">
        <f>MIN(N($E25),Paramètres!$C$7)*Paramètres!$C$6</f>
        <v>9756.2849999999999</v>
      </c>
      <c r="N25" s="11">
        <f>MIN(M25,I25*Paramètres!$C$8)</f>
        <v>9756.2849999999999</v>
      </c>
      <c r="O25" s="11">
        <f>I25*IF(K25="Cadre supérieur",Paramètres!$C$10,Paramètres!$C$9)</f>
        <v>31043</v>
      </c>
      <c r="P25" s="11">
        <f t="shared" si="1"/>
        <v>83300</v>
      </c>
      <c r="Q25" s="11">
        <f>SUMPRODUCT((P25&gt;Paramètres!$B$21:$B$27)*(P25-Paramètres!$B$21:$B$27)*Paramètres!$E$21:$E$27)</f>
        <v>7108.1</v>
      </c>
      <c r="R25" s="11">
        <f>Q25*INDEX(Paramètres!$C$31:$C$38,MIN(MAX(INT(N(J25)),0),7)+1)</f>
        <v>0</v>
      </c>
      <c r="S25" s="14">
        <f t="shared" si="2"/>
        <v>7108</v>
      </c>
      <c r="T25" s="11">
        <f>ROUND(N($E25)*Paramètres!$C$13,0)</f>
        <v>5322</v>
      </c>
      <c r="U25" s="11">
        <f>ROUND(MAX(0,N($E25)-(Q25-R25)-M25)*Paramètres!$C$12,0)</f>
        <v>1605</v>
      </c>
      <c r="V25" s="14">
        <f t="shared" si="3"/>
        <v>158918</v>
      </c>
    </row>
    <row r="26" spans="2:22" ht="17.25" customHeight="1" x14ac:dyDescent="0.35">
      <c r="B26" s="7">
        <v>20</v>
      </c>
      <c r="C26" s="8" t="s">
        <v>45</v>
      </c>
      <c r="D26" s="9">
        <v>46216</v>
      </c>
      <c r="E26" s="40">
        <v>225778</v>
      </c>
      <c r="F26" s="11">
        <f>MIN(ROUNDDOWN(N($E26)*Paramètres!$C$16,0),Paramètres!$D$16)</f>
        <v>45155</v>
      </c>
      <c r="G26" s="11">
        <f>MIN(ROUNDDOWN(N($E26)*Paramètres!$C$17,0),Paramètres!$D$17)</f>
        <v>11288</v>
      </c>
      <c r="H26" s="11">
        <f>MIN(ROUNDDOWN(N($E26)*Paramètres!$C$18,0),Paramètres!$D$18)</f>
        <v>11288</v>
      </c>
      <c r="I26" s="11">
        <f t="shared" si="0"/>
        <v>158047</v>
      </c>
      <c r="J26" s="12">
        <v>0</v>
      </c>
      <c r="K26" s="13" t="str">
        <f>IF(I26&lt;Paramètres!$C$11,"Cadre inférieur","Cadre supérieur")</f>
        <v>Cadre supérieur</v>
      </c>
      <c r="L26" s="11">
        <f>MIN(F26,MIN(N($E26)*Paramètres!$C$16,Paramètres!$D$16))+MIN(G26,MIN(N($E26)*Paramètres!$C$17,Paramètres!$D$17))+MIN(H26,MIN(N($E26)*Paramètres!$C$18,Paramètres!$D$18))</f>
        <v>67731</v>
      </c>
      <c r="M26" s="11">
        <f>MIN(N($E26),Paramètres!$C$7)*Paramètres!$C$6</f>
        <v>12417.79</v>
      </c>
      <c r="N26" s="11">
        <f>MIN(M26,I26*Paramètres!$C$8)</f>
        <v>12417.79</v>
      </c>
      <c r="O26" s="11">
        <f>I26*IF(K26="Cadre supérieur",Paramètres!$C$10,Paramètres!$C$9)</f>
        <v>31609.4</v>
      </c>
      <c r="P26" s="11">
        <f t="shared" si="1"/>
        <v>114000</v>
      </c>
      <c r="Q26" s="11">
        <f>SUMPRODUCT((P26&gt;Paramètres!$B$21:$B$27)*(P26-Paramètres!$B$21:$B$27)*Paramètres!$E$21:$E$27)</f>
        <v>11928</v>
      </c>
      <c r="R26" s="11">
        <f>Q26*INDEX(Paramètres!$C$31:$C$38,MIN(MAX(INT(N(J26)),0),7)+1)</f>
        <v>0</v>
      </c>
      <c r="S26" s="14">
        <f t="shared" si="2"/>
        <v>11928</v>
      </c>
      <c r="T26" s="11">
        <f>ROUND(N($E26)*Paramètres!$C$13,0)</f>
        <v>6773</v>
      </c>
      <c r="U26" s="11">
        <f>ROUND(MAX(0,N($E26)-(Q26-R26)-M26)*Paramètres!$C$12,0)</f>
        <v>2014</v>
      </c>
      <c r="V26" s="14">
        <f t="shared" si="3"/>
        <v>199418</v>
      </c>
    </row>
    <row r="27" spans="2:22" ht="17.25" customHeight="1" x14ac:dyDescent="0.35">
      <c r="B27" s="7">
        <v>21</v>
      </c>
      <c r="C27" s="8" t="s">
        <v>46</v>
      </c>
      <c r="D27" s="9">
        <v>46000</v>
      </c>
      <c r="E27" s="40">
        <v>177387</v>
      </c>
      <c r="F27" s="11">
        <f>MIN(ROUNDDOWN(N($E27)*Paramètres!$C$16,0),Paramètres!$D$16)</f>
        <v>35477</v>
      </c>
      <c r="G27" s="11">
        <f>MIN(ROUNDDOWN(N($E27)*Paramètres!$C$17,0),Paramètres!$D$17)</f>
        <v>8869</v>
      </c>
      <c r="H27" s="11">
        <f>MIN(ROUNDDOWN(N($E27)*Paramètres!$C$18,0),Paramètres!$D$18)</f>
        <v>8869</v>
      </c>
      <c r="I27" s="11">
        <f t="shared" si="0"/>
        <v>124172</v>
      </c>
      <c r="J27" s="12">
        <v>0</v>
      </c>
      <c r="K27" s="13" t="str">
        <f>IF(I27&lt;Paramètres!$C$11,"Cadre inférieur","Cadre supérieur")</f>
        <v>Cadre inférieur</v>
      </c>
      <c r="L27" s="11">
        <f>MIN(F27,MIN(N($E27)*Paramètres!$C$16,Paramètres!$D$16))+MIN(G27,MIN(N($E27)*Paramètres!$C$17,Paramètres!$D$17))+MIN(H27,MIN(N($E27)*Paramètres!$C$18,Paramètres!$D$18))</f>
        <v>53215</v>
      </c>
      <c r="M27" s="11">
        <f>MIN(N($E27),Paramètres!$C$7)*Paramètres!$C$6</f>
        <v>9756.2849999999999</v>
      </c>
      <c r="N27" s="11">
        <f>MIN(M27,I27*Paramètres!$C$8)</f>
        <v>9756.2849999999999</v>
      </c>
      <c r="O27" s="11">
        <f>I27*IF(K27="Cadre supérieur",Paramètres!$C$10,Paramètres!$C$9)</f>
        <v>31043</v>
      </c>
      <c r="P27" s="11">
        <f t="shared" si="1"/>
        <v>83300</v>
      </c>
      <c r="Q27" s="11">
        <f>SUMPRODUCT((P27&gt;Paramètres!$B$21:$B$27)*(P27-Paramètres!$B$21:$B$27)*Paramètres!$E$21:$E$27)</f>
        <v>7108.1</v>
      </c>
      <c r="R27" s="11">
        <f>Q27*INDEX(Paramètres!$C$31:$C$38,MIN(MAX(INT(N(J27)),0),7)+1)</f>
        <v>0</v>
      </c>
      <c r="S27" s="14">
        <f t="shared" si="2"/>
        <v>7108</v>
      </c>
      <c r="T27" s="11">
        <f>ROUND(N($E27)*Paramètres!$C$13,0)</f>
        <v>5322</v>
      </c>
      <c r="U27" s="11">
        <f>ROUND(MAX(0,N($E27)-(Q27-R27)-M27)*Paramètres!$C$12,0)</f>
        <v>1605</v>
      </c>
      <c r="V27" s="14">
        <f t="shared" si="3"/>
        <v>158918</v>
      </c>
    </row>
    <row r="28" spans="2:22" ht="17.25" customHeight="1" x14ac:dyDescent="0.35">
      <c r="B28" s="7">
        <v>22</v>
      </c>
      <c r="C28" s="17" t="s">
        <v>47</v>
      </c>
      <c r="D28" s="9">
        <v>46283</v>
      </c>
      <c r="E28" s="40">
        <v>81666</v>
      </c>
      <c r="F28" s="11">
        <f>MIN(ROUNDDOWN(N($E28)*Paramètres!$C$16,0),Paramètres!$D$16)</f>
        <v>16333</v>
      </c>
      <c r="G28" s="11">
        <f>MIN(ROUNDDOWN(N($E28)*Paramètres!$C$17,0),Paramètres!$D$17)</f>
        <v>4083</v>
      </c>
      <c r="H28" s="11">
        <f>MIN(ROUNDDOWN(N($E28)*Paramètres!$C$18,0),Paramètres!$D$18)</f>
        <v>4083</v>
      </c>
      <c r="I28" s="11">
        <f t="shared" si="0"/>
        <v>57167</v>
      </c>
      <c r="J28" s="12">
        <v>0</v>
      </c>
      <c r="K28" s="13" t="str">
        <f>IF(I28&lt;Paramètres!$C$11,"Cadre inférieur","Cadre supérieur")</f>
        <v>Cadre inférieur</v>
      </c>
      <c r="L28" s="11">
        <f>MIN(F28,MIN(N($E28)*Paramètres!$C$16,Paramètres!$D$16))+MIN(G28,MIN(N($E28)*Paramètres!$C$17,Paramètres!$D$17))+MIN(H28,MIN(N($E28)*Paramètres!$C$18,Paramètres!$D$18))</f>
        <v>24499</v>
      </c>
      <c r="M28" s="11">
        <f>MIN(N($E28),Paramètres!$C$7)*Paramètres!$C$6</f>
        <v>4491.63</v>
      </c>
      <c r="N28" s="11">
        <f>MIN(M28,I28*Paramètres!$C$8)</f>
        <v>4491.63</v>
      </c>
      <c r="O28" s="11">
        <f>I28*IF(K28="Cadre supérieur",Paramètres!$C$10,Paramètres!$C$9)</f>
        <v>14291.75</v>
      </c>
      <c r="P28" s="11">
        <f t="shared" si="1"/>
        <v>38300</v>
      </c>
      <c r="Q28" s="11">
        <f>SUMPRODUCT((P28&gt;Paramètres!$B$21:$B$27)*(P28-Paramètres!$B$21:$B$27)*Paramètres!$E$21:$E$27)</f>
        <v>1004.3</v>
      </c>
      <c r="R28" s="11">
        <f>Q28*INDEX(Paramètres!$C$31:$C$38,MIN(MAX(INT(N(J28)),0),7)+1)</f>
        <v>0</v>
      </c>
      <c r="S28" s="14">
        <f t="shared" si="2"/>
        <v>1004</v>
      </c>
      <c r="T28" s="11">
        <f>ROUND(N($E28)*Paramètres!$C$13,0)</f>
        <v>2450</v>
      </c>
      <c r="U28" s="11">
        <f>ROUND(MAX(0,N($E28)-(Q28-R28)-M28)*Paramètres!$C$12,0)</f>
        <v>762</v>
      </c>
      <c r="V28" s="14">
        <f t="shared" si="3"/>
        <v>75408</v>
      </c>
    </row>
    <row r="29" spans="2:22" ht="17.25" customHeight="1" x14ac:dyDescent="0.35">
      <c r="B29" s="7">
        <v>23</v>
      </c>
      <c r="C29" s="8" t="s">
        <v>48</v>
      </c>
      <c r="D29" s="9">
        <v>46204</v>
      </c>
      <c r="E29" s="40">
        <v>213566</v>
      </c>
      <c r="F29" s="11">
        <f>MIN(ROUNDDOWN(N($E29)*Paramètres!$C$16,0),Paramètres!$D$16)</f>
        <v>42713</v>
      </c>
      <c r="G29" s="11">
        <f>MIN(ROUNDDOWN(N($E29)*Paramètres!$C$17,0),Paramètres!$D$17)</f>
        <v>10678</v>
      </c>
      <c r="H29" s="11">
        <f>MIN(ROUNDDOWN(N($E29)*Paramètres!$C$18,0),Paramètres!$D$18)</f>
        <v>10678</v>
      </c>
      <c r="I29" s="11">
        <f t="shared" si="0"/>
        <v>149497</v>
      </c>
      <c r="J29" s="12">
        <v>0</v>
      </c>
      <c r="K29" s="13" t="str">
        <f>IF(I29&lt;Paramètres!$C$11,"Cadre inférieur","Cadre supérieur")</f>
        <v>Cadre inférieur</v>
      </c>
      <c r="L29" s="11">
        <f>MIN(F29,MIN(N($E29)*Paramètres!$C$16,Paramètres!$D$16))+MIN(G29,MIN(N($E29)*Paramètres!$C$17,Paramètres!$D$17))+MIN(H29,MIN(N($E29)*Paramètres!$C$18,Paramètres!$D$18))</f>
        <v>64069</v>
      </c>
      <c r="M29" s="11">
        <f>MIN(N($E29),Paramètres!$C$7)*Paramètres!$C$6</f>
        <v>11746.13</v>
      </c>
      <c r="N29" s="11">
        <f>MIN(M29,I29*Paramètres!$C$8)</f>
        <v>11746.13</v>
      </c>
      <c r="O29" s="11">
        <f>I29*IF(K29="Cadre supérieur",Paramètres!$C$10,Paramètres!$C$9)</f>
        <v>37374.25</v>
      </c>
      <c r="P29" s="11">
        <f t="shared" si="1"/>
        <v>100300</v>
      </c>
      <c r="Q29" s="11">
        <f>SUMPRODUCT((P29&gt;Paramètres!$B$21:$B$27)*(P29-Paramètres!$B$21:$B$27)*Paramètres!$E$21:$E$27)</f>
        <v>9777.1</v>
      </c>
      <c r="R29" s="11">
        <f>Q29*INDEX(Paramètres!$C$31:$C$38,MIN(MAX(INT(N(J29)),0),7)+1)</f>
        <v>0</v>
      </c>
      <c r="S29" s="14">
        <f t="shared" si="2"/>
        <v>9777</v>
      </c>
      <c r="T29" s="11">
        <f>ROUND(N($E29)*Paramètres!$C$13,0)</f>
        <v>6407</v>
      </c>
      <c r="U29" s="11">
        <f>ROUND(MAX(0,N($E29)-(Q29-R29)-M29)*Paramètres!$C$12,0)</f>
        <v>1920</v>
      </c>
      <c r="V29" s="14">
        <f t="shared" si="3"/>
        <v>190123</v>
      </c>
    </row>
    <row r="30" spans="2:22" ht="17.25" customHeight="1" x14ac:dyDescent="0.35">
      <c r="B30" s="7">
        <v>24</v>
      </c>
      <c r="C30" s="8" t="s">
        <v>49</v>
      </c>
      <c r="D30" s="18" t="s">
        <v>50</v>
      </c>
      <c r="E30" s="40">
        <v>177387</v>
      </c>
      <c r="F30" s="11">
        <f>MIN(ROUNDDOWN(N($E30)*Paramètres!$C$16,0),Paramètres!$D$16)</f>
        <v>35477</v>
      </c>
      <c r="G30" s="11">
        <f>MIN(ROUNDDOWN(N($E30)*Paramètres!$C$17,0),Paramètres!$D$17)</f>
        <v>8869</v>
      </c>
      <c r="H30" s="11">
        <f>MIN(ROUNDDOWN(N($E30)*Paramètres!$C$18,0),Paramètres!$D$18)</f>
        <v>8869</v>
      </c>
      <c r="I30" s="11">
        <f t="shared" si="0"/>
        <v>124172</v>
      </c>
      <c r="J30" s="12">
        <v>0</v>
      </c>
      <c r="K30" s="13" t="str">
        <f>IF(I30&lt;Paramètres!$C$11,"Cadre inférieur","Cadre supérieur")</f>
        <v>Cadre inférieur</v>
      </c>
      <c r="L30" s="11">
        <f>MIN(F30,MIN(N($E30)*Paramètres!$C$16,Paramètres!$D$16))+MIN(G30,MIN(N($E30)*Paramètres!$C$17,Paramètres!$D$17))+MIN(H30,MIN(N($E30)*Paramètres!$C$18,Paramètres!$D$18))</f>
        <v>53215</v>
      </c>
      <c r="M30" s="11">
        <f>MIN(N($E30),Paramètres!$C$7)*Paramètres!$C$6</f>
        <v>9756.2849999999999</v>
      </c>
      <c r="N30" s="11">
        <f>MIN(M30,I30*Paramètres!$C$8)</f>
        <v>9756.2849999999999</v>
      </c>
      <c r="O30" s="11">
        <f>I30*IF(K30="Cadre supérieur",Paramètres!$C$10,Paramètres!$C$9)</f>
        <v>31043</v>
      </c>
      <c r="P30" s="11">
        <f t="shared" si="1"/>
        <v>83300</v>
      </c>
      <c r="Q30" s="11">
        <f>SUMPRODUCT((P30&gt;Paramètres!$B$21:$B$27)*(P30-Paramètres!$B$21:$B$27)*Paramètres!$E$21:$E$27)</f>
        <v>7108.1</v>
      </c>
      <c r="R30" s="11">
        <f>Q30*INDEX(Paramètres!$C$31:$C$38,MIN(MAX(INT(N(J30)),0),7)+1)</f>
        <v>0</v>
      </c>
      <c r="S30" s="14">
        <f t="shared" si="2"/>
        <v>7108</v>
      </c>
      <c r="T30" s="11">
        <f>ROUND(N($E30)*Paramètres!$C$13,0)</f>
        <v>5322</v>
      </c>
      <c r="U30" s="11">
        <f>ROUND(MAX(0,N($E30)-(Q30-R30)-M30)*Paramètres!$C$12,0)</f>
        <v>1605</v>
      </c>
      <c r="V30" s="14">
        <f t="shared" si="3"/>
        <v>158918</v>
      </c>
    </row>
    <row r="31" spans="2:22" ht="17.25" customHeight="1" x14ac:dyDescent="0.35">
      <c r="B31" s="7">
        <v>25</v>
      </c>
      <c r="C31" s="8" t="s">
        <v>51</v>
      </c>
      <c r="D31" s="9">
        <v>45778</v>
      </c>
      <c r="E31" s="40">
        <v>165340</v>
      </c>
      <c r="F31" s="11">
        <f>MIN(ROUNDDOWN(N($E31)*Paramètres!$C$16,0),Paramètres!$D$16)</f>
        <v>33068</v>
      </c>
      <c r="G31" s="11">
        <f>MIN(ROUNDDOWN(N($E31)*Paramètres!$C$17,0),Paramètres!$D$17)</f>
        <v>8267</v>
      </c>
      <c r="H31" s="11">
        <f>MIN(ROUNDDOWN(N($E31)*Paramètres!$C$18,0),Paramètres!$D$18)</f>
        <v>8267</v>
      </c>
      <c r="I31" s="11">
        <f t="shared" si="0"/>
        <v>115738</v>
      </c>
      <c r="J31" s="12">
        <v>0</v>
      </c>
      <c r="K31" s="13" t="str">
        <f>IF(I31&lt;Paramètres!$C$11,"Cadre inférieur","Cadre supérieur")</f>
        <v>Cadre inférieur</v>
      </c>
      <c r="L31" s="11">
        <f>MIN(F31,MIN(N($E31)*Paramètres!$C$16,Paramètres!$D$16))+MIN(G31,MIN(N($E31)*Paramètres!$C$17,Paramètres!$D$17))+MIN(H31,MIN(N($E31)*Paramètres!$C$18,Paramètres!$D$18))</f>
        <v>49602</v>
      </c>
      <c r="M31" s="11">
        <f>MIN(N($E31),Paramètres!$C$7)*Paramètres!$C$6</f>
        <v>9093.7000000000007</v>
      </c>
      <c r="N31" s="11">
        <f>MIN(M31,I31*Paramètres!$C$8)</f>
        <v>9093.7000000000007</v>
      </c>
      <c r="O31" s="11">
        <f>I31*IF(K31="Cadre supérieur",Paramètres!$C$10,Paramètres!$C$9)</f>
        <v>28934.5</v>
      </c>
      <c r="P31" s="11">
        <f t="shared" si="1"/>
        <v>77700</v>
      </c>
      <c r="Q31" s="11">
        <f>SUMPRODUCT((P31&gt;Paramètres!$B$21:$B$27)*(P31-Paramètres!$B$21:$B$27)*Paramètres!$E$21:$E$27)</f>
        <v>6270.3</v>
      </c>
      <c r="R31" s="11">
        <f>Q31*INDEX(Paramètres!$C$31:$C$38,MIN(MAX(INT(N(J31)),0),7)+1)</f>
        <v>0</v>
      </c>
      <c r="S31" s="14">
        <f t="shared" si="2"/>
        <v>6270</v>
      </c>
      <c r="T31" s="11">
        <f>ROUND(N($E31)*Paramètres!$C$13,0)</f>
        <v>4960</v>
      </c>
      <c r="U31" s="11">
        <f>ROUND(MAX(0,N($E31)-(Q31-R31)-M31)*Paramètres!$C$12,0)</f>
        <v>1500</v>
      </c>
      <c r="V31" s="14">
        <f t="shared" si="3"/>
        <v>148476</v>
      </c>
    </row>
    <row r="32" spans="2:22" ht="17.25" customHeight="1" x14ac:dyDescent="0.35">
      <c r="B32" s="7">
        <v>26</v>
      </c>
      <c r="C32" s="8" t="s">
        <v>52</v>
      </c>
      <c r="D32" s="9">
        <v>46183</v>
      </c>
      <c r="E32" s="40">
        <v>177387</v>
      </c>
      <c r="F32" s="11">
        <f>MIN(ROUNDDOWN(N($E32)*Paramètres!$C$16,0),Paramètres!$D$16)</f>
        <v>35477</v>
      </c>
      <c r="G32" s="11">
        <f>MIN(ROUNDDOWN(N($E32)*Paramètres!$C$17,0),Paramètres!$D$17)</f>
        <v>8869</v>
      </c>
      <c r="H32" s="11">
        <f>MIN(ROUNDDOWN(N($E32)*Paramètres!$C$18,0),Paramètres!$D$18)</f>
        <v>8869</v>
      </c>
      <c r="I32" s="11">
        <f t="shared" si="0"/>
        <v>124172</v>
      </c>
      <c r="J32" s="12">
        <v>0</v>
      </c>
      <c r="K32" s="13" t="str">
        <f>IF(I32&lt;Paramètres!$C$11,"Cadre inférieur","Cadre supérieur")</f>
        <v>Cadre inférieur</v>
      </c>
      <c r="L32" s="11">
        <f>MIN(F32,MIN(N($E32)*Paramètres!$C$16,Paramètres!$D$16))+MIN(G32,MIN(N($E32)*Paramètres!$C$17,Paramètres!$D$17))+MIN(H32,MIN(N($E32)*Paramètres!$C$18,Paramètres!$D$18))</f>
        <v>53215</v>
      </c>
      <c r="M32" s="11">
        <f>MIN(N($E32),Paramètres!$C$7)*Paramètres!$C$6</f>
        <v>9756.2849999999999</v>
      </c>
      <c r="N32" s="11">
        <f>MIN(M32,I32*Paramètres!$C$8)</f>
        <v>9756.2849999999999</v>
      </c>
      <c r="O32" s="11">
        <f>I32*IF(K32="Cadre supérieur",Paramètres!$C$10,Paramètres!$C$9)</f>
        <v>31043</v>
      </c>
      <c r="P32" s="11">
        <f t="shared" si="1"/>
        <v>83300</v>
      </c>
      <c r="Q32" s="11">
        <f>SUMPRODUCT((P32&gt;Paramètres!$B$21:$B$27)*(P32-Paramètres!$B$21:$B$27)*Paramètres!$E$21:$E$27)</f>
        <v>7108.1</v>
      </c>
      <c r="R32" s="11">
        <f>Q32*INDEX(Paramètres!$C$31:$C$38,MIN(MAX(INT(N(J32)),0),7)+1)</f>
        <v>0</v>
      </c>
      <c r="S32" s="14">
        <f t="shared" si="2"/>
        <v>7108</v>
      </c>
      <c r="T32" s="11">
        <f>ROUND(N($E32)*Paramètres!$C$13,0)</f>
        <v>5322</v>
      </c>
      <c r="U32" s="11">
        <f>ROUND(MAX(0,N($E32)-(Q32-R32)-M32)*Paramètres!$C$12,0)</f>
        <v>1605</v>
      </c>
      <c r="V32" s="14">
        <f t="shared" si="3"/>
        <v>158918</v>
      </c>
    </row>
    <row r="33" spans="2:22" ht="17.25" customHeight="1" x14ac:dyDescent="0.35">
      <c r="B33" s="7">
        <v>27</v>
      </c>
      <c r="C33" s="8" t="s">
        <v>53</v>
      </c>
      <c r="D33" s="9"/>
      <c r="E33" s="40">
        <v>346515</v>
      </c>
      <c r="F33" s="11">
        <f>MIN(ROUNDDOWN(N($E33)*Paramètres!$C$16,0),Paramètres!$D$16)</f>
        <v>69303</v>
      </c>
      <c r="G33" s="11">
        <f>MIN(ROUNDDOWN(N($E33)*Paramètres!$C$17,0),Paramètres!$D$17)</f>
        <v>17325</v>
      </c>
      <c r="H33" s="11">
        <f>MIN(ROUNDDOWN(N($E33)*Paramètres!$C$18,0),Paramètres!$D$18)</f>
        <v>17325</v>
      </c>
      <c r="I33" s="11">
        <f t="shared" si="0"/>
        <v>242562</v>
      </c>
      <c r="J33" s="12">
        <v>0</v>
      </c>
      <c r="K33" s="13" t="str">
        <f>IF(I33&lt;Paramètres!$C$11,"Cadre inférieur","Cadre supérieur")</f>
        <v>Cadre supérieur</v>
      </c>
      <c r="L33" s="11">
        <f>MIN(F33,MIN(N($E33)*Paramètres!$C$16,Paramètres!$D$16))+MIN(G33,MIN(N($E33)*Paramètres!$C$17,Paramètres!$D$17))+MIN(H33,MIN(N($E33)*Paramètres!$C$18,Paramètres!$D$18))</f>
        <v>103953</v>
      </c>
      <c r="M33" s="11">
        <f>MIN(N($E33),Paramètres!$C$7)*Paramètres!$C$6</f>
        <v>19058.325000000001</v>
      </c>
      <c r="N33" s="11">
        <f>MIN(M33,I33*Paramètres!$C$8)</f>
        <v>19058.325000000001</v>
      </c>
      <c r="O33" s="11">
        <f>I33*IF(K33="Cadre supérieur",Paramètres!$C$10,Paramètres!$C$9)</f>
        <v>48512.4</v>
      </c>
      <c r="P33" s="11">
        <f t="shared" si="1"/>
        <v>174900</v>
      </c>
      <c r="Q33" s="11">
        <f>SUMPRODUCT((P33&gt;Paramètres!$B$21:$B$27)*(P33-Paramètres!$B$21:$B$27)*Paramètres!$E$21:$E$27)</f>
        <v>23133.299999999996</v>
      </c>
      <c r="R33" s="11">
        <f>Q33*INDEX(Paramètres!$C$31:$C$38,MIN(MAX(INT(N(J33)),0),7)+1)</f>
        <v>0</v>
      </c>
      <c r="S33" s="14">
        <f t="shared" si="2"/>
        <v>23133</v>
      </c>
      <c r="T33" s="11">
        <f>ROUND(N($E33)*Paramètres!$C$13,0)</f>
        <v>10395</v>
      </c>
      <c r="U33" s="11">
        <f>ROUND(MAX(0,N($E33)-(Q33-R33)-M33)*Paramètres!$C$12,0)</f>
        <v>3043</v>
      </c>
      <c r="V33" s="14">
        <f t="shared" si="3"/>
        <v>301281</v>
      </c>
    </row>
    <row r="34" spans="2:22" s="15" customFormat="1" ht="17.25" customHeight="1" x14ac:dyDescent="0.35">
      <c r="B34" s="7">
        <v>28</v>
      </c>
      <c r="C34" s="8" t="s">
        <v>54</v>
      </c>
      <c r="D34" s="9">
        <v>45965</v>
      </c>
      <c r="E34" s="40">
        <v>80000</v>
      </c>
      <c r="F34" s="11">
        <f>MIN(ROUNDDOWN(N($E34)*Paramètres!$C$16,0),Paramètres!$D$16)</f>
        <v>16000</v>
      </c>
      <c r="G34" s="11">
        <f>MIN(ROUNDDOWN(N($E34)*Paramètres!$C$17,0),Paramètres!$D$17)</f>
        <v>4000</v>
      </c>
      <c r="H34" s="11">
        <f>MIN(ROUNDDOWN(N($E34)*Paramètres!$C$18,0),Paramètres!$D$18)</f>
        <v>4000</v>
      </c>
      <c r="I34" s="11">
        <f t="shared" si="0"/>
        <v>56000</v>
      </c>
      <c r="J34" s="12">
        <v>0</v>
      </c>
      <c r="K34" s="13" t="str">
        <f>IF(I34&lt;Paramètres!$C$11,"Cadre inférieur","Cadre supérieur")</f>
        <v>Cadre inférieur</v>
      </c>
      <c r="L34" s="11">
        <f>MIN(F34,MIN(N($E34)*Paramètres!$C$16,Paramètres!$D$16))+MIN(G34,MIN(N($E34)*Paramètres!$C$17,Paramètres!$D$17))+MIN(H34,MIN(N($E34)*Paramètres!$C$18,Paramètres!$D$18))</f>
        <v>24000</v>
      </c>
      <c r="M34" s="11">
        <f>MIN(N($E34),Paramètres!$C$7)*Paramètres!$C$6</f>
        <v>4400</v>
      </c>
      <c r="N34" s="11">
        <f>MIN(M34,I34*Paramètres!$C$8)</f>
        <v>4400</v>
      </c>
      <c r="O34" s="11">
        <f>I34*IF(K34="Cadre supérieur",Paramètres!$C$10,Paramètres!$C$9)</f>
        <v>14000</v>
      </c>
      <c r="P34" s="11">
        <f t="shared" si="1"/>
        <v>37600</v>
      </c>
      <c r="Q34" s="11">
        <f>SUMPRODUCT((P34&gt;Paramètres!$B$21:$B$27)*(P34-Paramètres!$B$21:$B$27)*Paramètres!$E$21:$E$27)</f>
        <v>919.6</v>
      </c>
      <c r="R34" s="11">
        <f>Q34*INDEX(Paramètres!$C$31:$C$38,MIN(MAX(INT(N(J34)),0),7)+1)</f>
        <v>0</v>
      </c>
      <c r="S34" s="14">
        <f t="shared" si="2"/>
        <v>920</v>
      </c>
      <c r="T34" s="11">
        <f>ROUND(N($E34)*Paramètres!$C$13,0)</f>
        <v>2400</v>
      </c>
      <c r="U34" s="11">
        <f>ROUND(MAX(0,N($E34)-(Q34-R34)-M34)*Paramètres!$C$12,0)</f>
        <v>747</v>
      </c>
      <c r="V34" s="14">
        <f t="shared" si="3"/>
        <v>73933</v>
      </c>
    </row>
    <row r="35" spans="2:22" ht="17.25" customHeight="1" x14ac:dyDescent="0.35">
      <c r="B35" s="7">
        <v>29</v>
      </c>
      <c r="C35" s="8" t="s">
        <v>55</v>
      </c>
      <c r="D35" s="9">
        <v>46092</v>
      </c>
      <c r="E35" s="40">
        <v>225778</v>
      </c>
      <c r="F35" s="11">
        <f>MIN(ROUNDDOWN(N($E35)*Paramètres!$C$16,0),Paramètres!$D$16)</f>
        <v>45155</v>
      </c>
      <c r="G35" s="11">
        <f>MIN(ROUNDDOWN(N($E35)*Paramètres!$C$17,0),Paramètres!$D$17)</f>
        <v>11288</v>
      </c>
      <c r="H35" s="11">
        <f>MIN(ROUNDDOWN(N($E35)*Paramètres!$C$18,0),Paramètres!$D$18)</f>
        <v>11288</v>
      </c>
      <c r="I35" s="11">
        <f t="shared" si="0"/>
        <v>158047</v>
      </c>
      <c r="J35" s="12">
        <v>0</v>
      </c>
      <c r="K35" s="13" t="str">
        <f>IF(I35&lt;Paramètres!$C$11,"Cadre inférieur","Cadre supérieur")</f>
        <v>Cadre supérieur</v>
      </c>
      <c r="L35" s="11">
        <f>MIN(F35,MIN(N($E35)*Paramètres!$C$16,Paramètres!$D$16))+MIN(G35,MIN(N($E35)*Paramètres!$C$17,Paramètres!$D$17))+MIN(H35,MIN(N($E35)*Paramètres!$C$18,Paramètres!$D$18))</f>
        <v>67731</v>
      </c>
      <c r="M35" s="11">
        <f>MIN(N($E35),Paramètres!$C$7)*Paramètres!$C$6</f>
        <v>12417.79</v>
      </c>
      <c r="N35" s="11">
        <f>MIN(M35,I35*Paramètres!$C$8)</f>
        <v>12417.79</v>
      </c>
      <c r="O35" s="11">
        <f>I35*IF(K35="Cadre supérieur",Paramètres!$C$10,Paramètres!$C$9)</f>
        <v>31609.4</v>
      </c>
      <c r="P35" s="11">
        <f t="shared" si="1"/>
        <v>114000</v>
      </c>
      <c r="Q35" s="11">
        <f>SUMPRODUCT((P35&gt;Paramètres!$B$21:$B$27)*(P35-Paramètres!$B$21:$B$27)*Paramètres!$E$21:$E$27)</f>
        <v>11928</v>
      </c>
      <c r="R35" s="11">
        <f>Q35*INDEX(Paramètres!$C$31:$C$38,MIN(MAX(INT(N(J35)),0),7)+1)</f>
        <v>0</v>
      </c>
      <c r="S35" s="14">
        <f t="shared" si="2"/>
        <v>11928</v>
      </c>
      <c r="T35" s="11">
        <f>ROUND(N($E35)*Paramètres!$C$13,0)</f>
        <v>6773</v>
      </c>
      <c r="U35" s="11">
        <f>ROUND(MAX(0,N($E35)-(Q35-R35)-M35)*Paramètres!$C$12,0)</f>
        <v>2014</v>
      </c>
      <c r="V35" s="14">
        <f t="shared" si="3"/>
        <v>199418</v>
      </c>
    </row>
    <row r="36" spans="2:22" ht="17.25" customHeight="1" x14ac:dyDescent="0.35">
      <c r="B36" s="7">
        <v>30</v>
      </c>
      <c r="C36" s="8" t="s">
        <v>56</v>
      </c>
      <c r="D36" s="9"/>
      <c r="E36" s="40">
        <v>0</v>
      </c>
      <c r="F36" s="11">
        <f>MIN(ROUNDDOWN(N($E36)*Paramètres!$C$16,0),Paramètres!$D$16)</f>
        <v>0</v>
      </c>
      <c r="G36" s="11">
        <f>MIN(ROUNDDOWN(N($E36)*Paramètres!$C$17,0),Paramètres!$D$17)</f>
        <v>0</v>
      </c>
      <c r="H36" s="11">
        <f>MIN(ROUNDDOWN(N($E36)*Paramètres!$C$18,0),Paramètres!$D$18)</f>
        <v>0</v>
      </c>
      <c r="I36" s="11">
        <f t="shared" si="0"/>
        <v>0</v>
      </c>
      <c r="J36" s="12">
        <v>0</v>
      </c>
      <c r="K36" s="13" t="str">
        <f>IF(I36&lt;Paramètres!$C$11,"Cadre inférieur","Cadre supérieur")</f>
        <v>Cadre inférieur</v>
      </c>
      <c r="L36" s="11">
        <f>MIN(F36,MIN(N($E36)*Paramètres!$C$16,Paramètres!$D$16))+MIN(G36,MIN(N($E36)*Paramètres!$C$17,Paramètres!$D$17))+MIN(H36,MIN(N($E36)*Paramètres!$C$18,Paramètres!$D$18))</f>
        <v>0</v>
      </c>
      <c r="M36" s="11">
        <f>MIN(N($E36),Paramètres!$C$7)*Paramètres!$C$6</f>
        <v>0</v>
      </c>
      <c r="N36" s="11">
        <f>MIN(M36,I36*Paramètres!$C$8)</f>
        <v>0</v>
      </c>
      <c r="O36" s="11">
        <f>I36*IF(K36="Cadre supérieur",Paramètres!$C$10,Paramètres!$C$9)</f>
        <v>0</v>
      </c>
      <c r="P36" s="11">
        <f t="shared" si="1"/>
        <v>0</v>
      </c>
      <c r="Q36" s="11">
        <f>SUMPRODUCT((P36&gt;Paramètres!$B$21:$B$27)*(P36-Paramètres!$B$21:$B$27)*Paramètres!$E$21:$E$27)</f>
        <v>0</v>
      </c>
      <c r="R36" s="11">
        <f>Q36*INDEX(Paramètres!$C$31:$C$38,MIN(MAX(INT(N(J36)),0),7)+1)</f>
        <v>0</v>
      </c>
      <c r="S36" s="14">
        <f t="shared" si="2"/>
        <v>0</v>
      </c>
      <c r="T36" s="11">
        <f>ROUND(N($E36)*Paramètres!$C$13,0)</f>
        <v>0</v>
      </c>
      <c r="U36" s="11">
        <f>ROUND(MAX(0,N($E36)-(Q36-R36)-M36)*Paramètres!$C$12,0)</f>
        <v>0</v>
      </c>
      <c r="V36" s="14">
        <f t="shared" si="3"/>
        <v>0</v>
      </c>
    </row>
    <row r="37" spans="2:22" ht="17.25" customHeight="1" x14ac:dyDescent="0.35">
      <c r="B37" s="7">
        <v>31</v>
      </c>
      <c r="C37" s="17" t="s">
        <v>57</v>
      </c>
      <c r="D37" s="9">
        <v>46275</v>
      </c>
      <c r="E37" s="40">
        <v>108397</v>
      </c>
      <c r="F37" s="11">
        <f>MIN(ROUNDDOWN(N($E37)*Paramètres!$C$16,0),Paramètres!$D$16)</f>
        <v>21679</v>
      </c>
      <c r="G37" s="11">
        <f>MIN(ROUNDDOWN(N($E37)*Paramètres!$C$17,0),Paramètres!$D$17)</f>
        <v>5419</v>
      </c>
      <c r="H37" s="11">
        <f>MIN(ROUNDDOWN(N($E37)*Paramètres!$C$18,0),Paramètres!$D$18)</f>
        <v>5419</v>
      </c>
      <c r="I37" s="11">
        <f t="shared" si="0"/>
        <v>75880</v>
      </c>
      <c r="J37" s="12">
        <v>0</v>
      </c>
      <c r="K37" s="13" t="str">
        <f>IF(I37&lt;Paramètres!$C$11,"Cadre inférieur","Cadre supérieur")</f>
        <v>Cadre inférieur</v>
      </c>
      <c r="L37" s="11">
        <f>MIN(F37,MIN(N($E37)*Paramètres!$C$16,Paramètres!$D$16))+MIN(G37,MIN(N($E37)*Paramètres!$C$17,Paramètres!$D$17))+MIN(H37,MIN(N($E37)*Paramètres!$C$18,Paramètres!$D$18))</f>
        <v>32517</v>
      </c>
      <c r="M37" s="11">
        <f>MIN(N($E37),Paramètres!$C$7)*Paramètres!$C$6</f>
        <v>5961.835</v>
      </c>
      <c r="N37" s="11">
        <f>MIN(M37,I37*Paramètres!$C$8)</f>
        <v>5961.835</v>
      </c>
      <c r="O37" s="11">
        <f>I37*IF(K37="Cadre supérieur",Paramètres!$C$10,Paramètres!$C$9)</f>
        <v>18970</v>
      </c>
      <c r="P37" s="11">
        <f t="shared" si="1"/>
        <v>50900</v>
      </c>
      <c r="Q37" s="11">
        <f>SUMPRODUCT((P37&gt;Paramètres!$B$21:$B$27)*(P37-Paramètres!$B$21:$B$27)*Paramètres!$E$21:$E$27)</f>
        <v>2545.1</v>
      </c>
      <c r="R37" s="11">
        <f>Q37*INDEX(Paramètres!$C$31:$C$38,MIN(MAX(INT(N(J37)),0),7)+1)</f>
        <v>0</v>
      </c>
      <c r="S37" s="14">
        <f t="shared" si="2"/>
        <v>2545</v>
      </c>
      <c r="T37" s="11">
        <f>ROUND(N($E37)*Paramètres!$C$13,0)</f>
        <v>3252</v>
      </c>
      <c r="U37" s="11">
        <f>ROUND(MAX(0,N($E37)-(Q37-R37)-M37)*Paramètres!$C$12,0)</f>
        <v>999</v>
      </c>
      <c r="V37" s="14">
        <f t="shared" si="3"/>
        <v>98891</v>
      </c>
    </row>
    <row r="38" spans="2:22" ht="17.25" customHeight="1" x14ac:dyDescent="0.35">
      <c r="B38" s="7">
        <v>32</v>
      </c>
      <c r="C38" s="8" t="s">
        <v>58</v>
      </c>
      <c r="D38" s="9">
        <v>46216</v>
      </c>
      <c r="E38" s="40">
        <v>225778</v>
      </c>
      <c r="F38" s="11">
        <f>MIN(ROUNDDOWN(N($E38)*Paramètres!$C$16,0),Paramètres!$D$16)</f>
        <v>45155</v>
      </c>
      <c r="G38" s="11">
        <f>MIN(ROUNDDOWN(N($E38)*Paramètres!$C$17,0),Paramètres!$D$17)</f>
        <v>11288</v>
      </c>
      <c r="H38" s="11">
        <f>MIN(ROUNDDOWN(N($E38)*Paramètres!$C$18,0),Paramètres!$D$18)</f>
        <v>11288</v>
      </c>
      <c r="I38" s="11">
        <f t="shared" si="0"/>
        <v>158047</v>
      </c>
      <c r="J38" s="12">
        <v>0</v>
      </c>
      <c r="K38" s="13" t="str">
        <f>IF(I38&lt;Paramètres!$C$11,"Cadre inférieur","Cadre supérieur")</f>
        <v>Cadre supérieur</v>
      </c>
      <c r="L38" s="11">
        <f>MIN(F38,MIN(N($E38)*Paramètres!$C$16,Paramètres!$D$16))+MIN(G38,MIN(N($E38)*Paramètres!$C$17,Paramètres!$D$17))+MIN(H38,MIN(N($E38)*Paramètres!$C$18,Paramètres!$D$18))</f>
        <v>67731</v>
      </c>
      <c r="M38" s="11">
        <f>MIN(N($E38),Paramètres!$C$7)*Paramètres!$C$6</f>
        <v>12417.79</v>
      </c>
      <c r="N38" s="11">
        <f>MIN(M38,I38*Paramètres!$C$8)</f>
        <v>12417.79</v>
      </c>
      <c r="O38" s="11">
        <f>I38*IF(K38="Cadre supérieur",Paramètres!$C$10,Paramètres!$C$9)</f>
        <v>31609.4</v>
      </c>
      <c r="P38" s="11">
        <f t="shared" si="1"/>
        <v>114000</v>
      </c>
      <c r="Q38" s="11">
        <f>SUMPRODUCT((P38&gt;Paramètres!$B$21:$B$27)*(P38-Paramètres!$B$21:$B$27)*Paramètres!$E$21:$E$27)</f>
        <v>11928</v>
      </c>
      <c r="R38" s="11">
        <f>Q38*INDEX(Paramètres!$C$31:$C$38,MIN(MAX(INT(N(J38)),0),7)+1)</f>
        <v>0</v>
      </c>
      <c r="S38" s="14">
        <f t="shared" si="2"/>
        <v>11928</v>
      </c>
      <c r="T38" s="11">
        <f>ROUND(N($E38)*Paramètres!$C$13,0)</f>
        <v>6773</v>
      </c>
      <c r="U38" s="11">
        <f>ROUND(MAX(0,N($E38)-(Q38-R38)-M38)*Paramètres!$C$12,0)</f>
        <v>2014</v>
      </c>
      <c r="V38" s="14">
        <f t="shared" si="3"/>
        <v>199418</v>
      </c>
    </row>
    <row r="39" spans="2:22" ht="17.25" customHeight="1" x14ac:dyDescent="0.35">
      <c r="B39" s="7">
        <v>33</v>
      </c>
      <c r="C39" s="8" t="s">
        <v>59</v>
      </c>
      <c r="D39" s="9">
        <v>45778</v>
      </c>
      <c r="E39" s="40">
        <v>346515</v>
      </c>
      <c r="F39" s="11">
        <f>MIN(ROUNDDOWN(N($E39)*Paramètres!$C$16,0),Paramètres!$D$16)</f>
        <v>69303</v>
      </c>
      <c r="G39" s="11">
        <f>MIN(ROUNDDOWN(N($E39)*Paramètres!$C$17,0),Paramètres!$D$17)</f>
        <v>17325</v>
      </c>
      <c r="H39" s="11">
        <f>MIN(ROUNDDOWN(N($E39)*Paramètres!$C$18,0),Paramètres!$D$18)</f>
        <v>17325</v>
      </c>
      <c r="I39" s="11">
        <f t="shared" ref="I39:I70" si="4">N($E39)-(F39+G39+H39)</f>
        <v>242562</v>
      </c>
      <c r="J39" s="12">
        <v>0</v>
      </c>
      <c r="K39" s="13" t="str">
        <f>IF(I39&lt;Paramètres!$C$11,"Cadre inférieur","Cadre supérieur")</f>
        <v>Cadre supérieur</v>
      </c>
      <c r="L39" s="11">
        <f>MIN(F39,MIN(N($E39)*Paramètres!$C$16,Paramètres!$D$16))+MIN(G39,MIN(N($E39)*Paramètres!$C$17,Paramètres!$D$17))+MIN(H39,MIN(N($E39)*Paramètres!$C$18,Paramètres!$D$18))</f>
        <v>103953</v>
      </c>
      <c r="M39" s="11">
        <f>MIN(N($E39),Paramètres!$C$7)*Paramètres!$C$6</f>
        <v>19058.325000000001</v>
      </c>
      <c r="N39" s="11">
        <f>MIN(M39,I39*Paramètres!$C$8)</f>
        <v>19058.325000000001</v>
      </c>
      <c r="O39" s="11">
        <f>I39*IF(K39="Cadre supérieur",Paramètres!$C$10,Paramètres!$C$9)</f>
        <v>48512.4</v>
      </c>
      <c r="P39" s="11">
        <f t="shared" ref="P39:P70" si="5">MAX(0,ROUNDDOWN(N($E39)-L39-N39-O39,-2))</f>
        <v>174900</v>
      </c>
      <c r="Q39" s="11">
        <f>SUMPRODUCT((P39&gt;Paramètres!$B$21:$B$27)*(P39-Paramètres!$B$21:$B$27)*Paramètres!$E$21:$E$27)</f>
        <v>23133.299999999996</v>
      </c>
      <c r="R39" s="11">
        <f>Q39*INDEX(Paramètres!$C$31:$C$38,MIN(MAX(INT(N(J39)),0),7)+1)</f>
        <v>0</v>
      </c>
      <c r="S39" s="14">
        <f t="shared" ref="S39:S70" si="6">ROUND(Q39-R39,0)</f>
        <v>23133</v>
      </c>
      <c r="T39" s="11">
        <f>ROUND(N($E39)*Paramètres!$C$13,0)</f>
        <v>10395</v>
      </c>
      <c r="U39" s="11">
        <f>ROUND(MAX(0,N($E39)-(Q39-R39)-M39)*Paramètres!$C$12,0)</f>
        <v>3043</v>
      </c>
      <c r="V39" s="14">
        <f t="shared" ref="V39:V70" si="7">ROUND(N($E39)-M39-S39-U39,0)</f>
        <v>301281</v>
      </c>
    </row>
    <row r="40" spans="2:22" ht="17.25" customHeight="1" x14ac:dyDescent="0.35">
      <c r="B40" s="7">
        <v>34</v>
      </c>
      <c r="C40" s="8" t="s">
        <v>60</v>
      </c>
      <c r="D40" s="9">
        <v>45962</v>
      </c>
      <c r="E40" s="40">
        <v>213563</v>
      </c>
      <c r="F40" s="11">
        <f>MIN(ROUNDDOWN(N($E40)*Paramètres!$C$16,0),Paramètres!$D$16)</f>
        <v>42712</v>
      </c>
      <c r="G40" s="11">
        <f>MIN(ROUNDDOWN(N($E40)*Paramètres!$C$17,0),Paramètres!$D$17)</f>
        <v>10678</v>
      </c>
      <c r="H40" s="11">
        <f>MIN(ROUNDDOWN(N($E40)*Paramètres!$C$18,0),Paramètres!$D$18)</f>
        <v>10678</v>
      </c>
      <c r="I40" s="11">
        <f t="shared" si="4"/>
        <v>149495</v>
      </c>
      <c r="J40" s="12">
        <v>0</v>
      </c>
      <c r="K40" s="13" t="str">
        <f>IF(I40&lt;Paramètres!$C$11,"Cadre inférieur","Cadre supérieur")</f>
        <v>Cadre inférieur</v>
      </c>
      <c r="L40" s="11">
        <f>MIN(F40,MIN(N($E40)*Paramètres!$C$16,Paramètres!$D$16))+MIN(G40,MIN(N($E40)*Paramètres!$C$17,Paramètres!$D$17))+MIN(H40,MIN(N($E40)*Paramètres!$C$18,Paramètres!$D$18))</f>
        <v>64068</v>
      </c>
      <c r="M40" s="11">
        <f>MIN(N($E40),Paramètres!$C$7)*Paramètres!$C$6</f>
        <v>11745.965</v>
      </c>
      <c r="N40" s="11">
        <f>MIN(M40,I40*Paramètres!$C$8)</f>
        <v>11745.965</v>
      </c>
      <c r="O40" s="11">
        <f>I40*IF(K40="Cadre supérieur",Paramètres!$C$10,Paramètres!$C$9)</f>
        <v>37373.75</v>
      </c>
      <c r="P40" s="11">
        <f t="shared" si="5"/>
        <v>100300</v>
      </c>
      <c r="Q40" s="11">
        <f>SUMPRODUCT((P40&gt;Paramètres!$B$21:$B$27)*(P40-Paramètres!$B$21:$B$27)*Paramètres!$E$21:$E$27)</f>
        <v>9777.1</v>
      </c>
      <c r="R40" s="11">
        <f>Q40*INDEX(Paramètres!$C$31:$C$38,MIN(MAX(INT(N(J40)),0),7)+1)</f>
        <v>0</v>
      </c>
      <c r="S40" s="14">
        <f t="shared" si="6"/>
        <v>9777</v>
      </c>
      <c r="T40" s="11">
        <f>ROUND(N($E40)*Paramètres!$C$13,0)</f>
        <v>6407</v>
      </c>
      <c r="U40" s="11">
        <f>ROUND(MAX(0,N($E40)-(Q40-R40)-M40)*Paramètres!$C$12,0)</f>
        <v>1920</v>
      </c>
      <c r="V40" s="14">
        <f t="shared" si="7"/>
        <v>190120</v>
      </c>
    </row>
    <row r="41" spans="2:22" ht="17.25" customHeight="1" x14ac:dyDescent="0.35">
      <c r="B41" s="7">
        <v>35</v>
      </c>
      <c r="C41" s="8" t="s">
        <v>61</v>
      </c>
      <c r="D41" s="9">
        <v>46252</v>
      </c>
      <c r="E41" s="40">
        <v>135983</v>
      </c>
      <c r="F41" s="11">
        <f>MIN(ROUNDDOWN(N($E41)*Paramètres!$C$16,0),Paramètres!$D$16)</f>
        <v>27196</v>
      </c>
      <c r="G41" s="11">
        <f>MIN(ROUNDDOWN(N($E41)*Paramètres!$C$17,0),Paramètres!$D$17)</f>
        <v>6799</v>
      </c>
      <c r="H41" s="11">
        <f>MIN(ROUNDDOWN(N($E41)*Paramètres!$C$18,0),Paramètres!$D$18)</f>
        <v>6799</v>
      </c>
      <c r="I41" s="11">
        <f t="shared" si="4"/>
        <v>95189</v>
      </c>
      <c r="J41" s="12">
        <v>0</v>
      </c>
      <c r="K41" s="13" t="str">
        <f>IF(I41&lt;Paramètres!$C$11,"Cadre inférieur","Cadre supérieur")</f>
        <v>Cadre inférieur</v>
      </c>
      <c r="L41" s="11">
        <f>MIN(F41,MIN(N($E41)*Paramètres!$C$16,Paramètres!$D$16))+MIN(G41,MIN(N($E41)*Paramètres!$C$17,Paramètres!$D$17))+MIN(H41,MIN(N($E41)*Paramètres!$C$18,Paramètres!$D$18))</f>
        <v>40794</v>
      </c>
      <c r="M41" s="11">
        <f>MIN(N($E41),Paramètres!$C$7)*Paramètres!$C$6</f>
        <v>7479.0649999999996</v>
      </c>
      <c r="N41" s="11">
        <f>MIN(M41,I41*Paramètres!$C$8)</f>
        <v>7479.0649999999996</v>
      </c>
      <c r="O41" s="11">
        <f>I41*IF(K41="Cadre supérieur",Paramètres!$C$10,Paramètres!$C$9)</f>
        <v>23797.25</v>
      </c>
      <c r="P41" s="11">
        <f t="shared" si="5"/>
        <v>63900</v>
      </c>
      <c r="Q41" s="11">
        <f>SUMPRODUCT((P41&gt;Paramètres!$B$21:$B$27)*(P41-Paramètres!$B$21:$B$27)*Paramètres!$E$21:$E$27)</f>
        <v>4352.0999999999995</v>
      </c>
      <c r="R41" s="11">
        <f>Q41*INDEX(Paramètres!$C$31:$C$38,MIN(MAX(INT(N(J41)),0),7)+1)</f>
        <v>0</v>
      </c>
      <c r="S41" s="14">
        <f t="shared" si="6"/>
        <v>4352</v>
      </c>
      <c r="T41" s="11">
        <f>ROUND(N($E41)*Paramètres!$C$13,0)</f>
        <v>4079</v>
      </c>
      <c r="U41" s="11">
        <f>ROUND(MAX(0,N($E41)-(Q41-R41)-M41)*Paramètres!$C$12,0)</f>
        <v>1242</v>
      </c>
      <c r="V41" s="14">
        <f t="shared" si="7"/>
        <v>122910</v>
      </c>
    </row>
    <row r="42" spans="2:22" ht="17.25" customHeight="1" x14ac:dyDescent="0.35">
      <c r="B42" s="7">
        <v>36</v>
      </c>
      <c r="C42" s="8" t="s">
        <v>62</v>
      </c>
      <c r="D42" s="9">
        <v>46023</v>
      </c>
      <c r="E42" s="40">
        <v>213566</v>
      </c>
      <c r="F42" s="11">
        <f>MIN(ROUNDDOWN(N($E42)*Paramètres!$C$16,0),Paramètres!$D$16)</f>
        <v>42713</v>
      </c>
      <c r="G42" s="11">
        <f>MIN(ROUNDDOWN(N($E42)*Paramètres!$C$17,0),Paramètres!$D$17)</f>
        <v>10678</v>
      </c>
      <c r="H42" s="11">
        <f>MIN(ROUNDDOWN(N($E42)*Paramètres!$C$18,0),Paramètres!$D$18)</f>
        <v>10678</v>
      </c>
      <c r="I42" s="11">
        <f t="shared" si="4"/>
        <v>149497</v>
      </c>
      <c r="J42" s="12">
        <v>0</v>
      </c>
      <c r="K42" s="13" t="str">
        <f>IF(I42&lt;Paramètres!$C$11,"Cadre inférieur","Cadre supérieur")</f>
        <v>Cadre inférieur</v>
      </c>
      <c r="L42" s="11">
        <f>MIN(F42,MIN(N($E42)*Paramètres!$C$16,Paramètres!$D$16))+MIN(G42,MIN(N($E42)*Paramètres!$C$17,Paramètres!$D$17))+MIN(H42,MIN(N($E42)*Paramètres!$C$18,Paramètres!$D$18))</f>
        <v>64069</v>
      </c>
      <c r="M42" s="11">
        <f>MIN(N($E42),Paramètres!$C$7)*Paramètres!$C$6</f>
        <v>11746.13</v>
      </c>
      <c r="N42" s="11">
        <f>MIN(M42,I42*Paramètres!$C$8)</f>
        <v>11746.13</v>
      </c>
      <c r="O42" s="11">
        <f>I42*IF(K42="Cadre supérieur",Paramètres!$C$10,Paramètres!$C$9)</f>
        <v>37374.25</v>
      </c>
      <c r="P42" s="11">
        <f t="shared" si="5"/>
        <v>100300</v>
      </c>
      <c r="Q42" s="11">
        <f>SUMPRODUCT((P42&gt;Paramètres!$B$21:$B$27)*(P42-Paramètres!$B$21:$B$27)*Paramètres!$E$21:$E$27)</f>
        <v>9777.1</v>
      </c>
      <c r="R42" s="11">
        <f>Q42*INDEX(Paramètres!$C$31:$C$38,MIN(MAX(INT(N(J42)),0),7)+1)</f>
        <v>0</v>
      </c>
      <c r="S42" s="14">
        <f t="shared" si="6"/>
        <v>9777</v>
      </c>
      <c r="T42" s="11">
        <f>ROUND(N($E42)*Paramètres!$C$13,0)</f>
        <v>6407</v>
      </c>
      <c r="U42" s="11">
        <f>ROUND(MAX(0,N($E42)-(Q42-R42)-M42)*Paramètres!$C$12,0)</f>
        <v>1920</v>
      </c>
      <c r="V42" s="14">
        <f t="shared" si="7"/>
        <v>190123</v>
      </c>
    </row>
    <row r="43" spans="2:22" ht="17.25" customHeight="1" x14ac:dyDescent="0.35">
      <c r="B43" s="7">
        <v>37</v>
      </c>
      <c r="C43" s="8" t="s">
        <v>63</v>
      </c>
      <c r="D43" s="9">
        <v>46220</v>
      </c>
      <c r="E43" s="40">
        <v>256095</v>
      </c>
      <c r="F43" s="11">
        <f>MIN(ROUNDDOWN(N($E43)*Paramètres!$C$16,0),Paramètres!$D$16)</f>
        <v>51219</v>
      </c>
      <c r="G43" s="11">
        <f>MIN(ROUNDDOWN(N($E43)*Paramètres!$C$17,0),Paramètres!$D$17)</f>
        <v>12804</v>
      </c>
      <c r="H43" s="11">
        <f>MIN(ROUNDDOWN(N($E43)*Paramètres!$C$18,0),Paramètres!$D$18)</f>
        <v>12804</v>
      </c>
      <c r="I43" s="11">
        <f t="shared" si="4"/>
        <v>179268</v>
      </c>
      <c r="J43" s="12">
        <v>0</v>
      </c>
      <c r="K43" s="13" t="str">
        <f>IF(I43&lt;Paramètres!$C$11,"Cadre inférieur","Cadre supérieur")</f>
        <v>Cadre supérieur</v>
      </c>
      <c r="L43" s="11">
        <f>MIN(F43,MIN(N($E43)*Paramètres!$C$16,Paramètres!$D$16))+MIN(G43,MIN(N($E43)*Paramètres!$C$17,Paramètres!$D$17))+MIN(H43,MIN(N($E43)*Paramètres!$C$18,Paramètres!$D$18))</f>
        <v>76827</v>
      </c>
      <c r="M43" s="11">
        <f>MIN(N($E43),Paramètres!$C$7)*Paramètres!$C$6</f>
        <v>14085.225</v>
      </c>
      <c r="N43" s="11">
        <f>MIN(M43,I43*Paramètres!$C$8)</f>
        <v>14085.225</v>
      </c>
      <c r="O43" s="11">
        <f>I43*IF(K43="Cadre supérieur",Paramètres!$C$10,Paramètres!$C$9)</f>
        <v>35853.599999999999</v>
      </c>
      <c r="P43" s="11">
        <f t="shared" si="5"/>
        <v>129300</v>
      </c>
      <c r="Q43" s="11">
        <f>SUMPRODUCT((P43&gt;Paramètres!$B$21:$B$27)*(P43-Paramètres!$B$21:$B$27)*Paramètres!$E$21:$E$27)</f>
        <v>14581.2</v>
      </c>
      <c r="R43" s="11">
        <f>Q43*INDEX(Paramètres!$C$31:$C$38,MIN(MAX(INT(N(J43)),0),7)+1)</f>
        <v>0</v>
      </c>
      <c r="S43" s="14">
        <f t="shared" si="6"/>
        <v>14581</v>
      </c>
      <c r="T43" s="11">
        <f>ROUND(N($E43)*Paramètres!$C$13,0)</f>
        <v>7683</v>
      </c>
      <c r="U43" s="11">
        <f>ROUND(MAX(0,N($E43)-(Q43-R43)-M43)*Paramètres!$C$12,0)</f>
        <v>2274</v>
      </c>
      <c r="V43" s="14">
        <f t="shared" si="7"/>
        <v>225155</v>
      </c>
    </row>
    <row r="44" spans="2:22" ht="17.25" customHeight="1" x14ac:dyDescent="0.35">
      <c r="B44" s="7">
        <v>38</v>
      </c>
      <c r="C44" s="8" t="s">
        <v>64</v>
      </c>
      <c r="D44" s="9">
        <v>46068</v>
      </c>
      <c r="E44" s="40">
        <v>135983</v>
      </c>
      <c r="F44" s="11">
        <f>MIN(ROUNDDOWN(N($E44)*Paramètres!$C$16,0),Paramètres!$D$16)</f>
        <v>27196</v>
      </c>
      <c r="G44" s="11">
        <f>MIN(ROUNDDOWN(N($E44)*Paramètres!$C$17,0),Paramètres!$D$17)</f>
        <v>6799</v>
      </c>
      <c r="H44" s="11">
        <f>MIN(ROUNDDOWN(N($E44)*Paramètres!$C$18,0),Paramètres!$D$18)</f>
        <v>6799</v>
      </c>
      <c r="I44" s="11">
        <f t="shared" si="4"/>
        <v>95189</v>
      </c>
      <c r="J44" s="12">
        <v>0</v>
      </c>
      <c r="K44" s="13" t="str">
        <f>IF(I44&lt;Paramètres!$C$11,"Cadre inférieur","Cadre supérieur")</f>
        <v>Cadre inférieur</v>
      </c>
      <c r="L44" s="11">
        <f>MIN(F44,MIN(N($E44)*Paramètres!$C$16,Paramètres!$D$16))+MIN(G44,MIN(N($E44)*Paramètres!$C$17,Paramètres!$D$17))+MIN(H44,MIN(N($E44)*Paramètres!$C$18,Paramètres!$D$18))</f>
        <v>40794</v>
      </c>
      <c r="M44" s="11">
        <f>MIN(N($E44),Paramètres!$C$7)*Paramètres!$C$6</f>
        <v>7479.0649999999996</v>
      </c>
      <c r="N44" s="11">
        <f>MIN(M44,I44*Paramètres!$C$8)</f>
        <v>7479.0649999999996</v>
      </c>
      <c r="O44" s="11">
        <f>I44*IF(K44="Cadre supérieur",Paramètres!$C$10,Paramètres!$C$9)</f>
        <v>23797.25</v>
      </c>
      <c r="P44" s="11">
        <f t="shared" si="5"/>
        <v>63900</v>
      </c>
      <c r="Q44" s="11">
        <f>SUMPRODUCT((P44&gt;Paramètres!$B$21:$B$27)*(P44-Paramètres!$B$21:$B$27)*Paramètres!$E$21:$E$27)</f>
        <v>4352.0999999999995</v>
      </c>
      <c r="R44" s="11">
        <f>Q44*INDEX(Paramètres!$C$31:$C$38,MIN(MAX(INT(N(J44)),0),7)+1)</f>
        <v>0</v>
      </c>
      <c r="S44" s="14">
        <f t="shared" si="6"/>
        <v>4352</v>
      </c>
      <c r="T44" s="11">
        <f>ROUND(N($E44)*Paramètres!$C$13,0)</f>
        <v>4079</v>
      </c>
      <c r="U44" s="11">
        <f>ROUND(MAX(0,N($E44)-(Q44-R44)-M44)*Paramètres!$C$12,0)</f>
        <v>1242</v>
      </c>
      <c r="V44" s="14">
        <f t="shared" si="7"/>
        <v>122910</v>
      </c>
    </row>
    <row r="45" spans="2:22" ht="17.25" customHeight="1" x14ac:dyDescent="0.35">
      <c r="B45" s="7">
        <v>39</v>
      </c>
      <c r="C45" s="8" t="s">
        <v>65</v>
      </c>
      <c r="D45" s="9">
        <v>46219</v>
      </c>
      <c r="E45" s="40">
        <v>177387</v>
      </c>
      <c r="F45" s="11">
        <f>MIN(ROUNDDOWN(N($E45)*Paramètres!$C$16,0),Paramètres!$D$16)</f>
        <v>35477</v>
      </c>
      <c r="G45" s="11">
        <f>MIN(ROUNDDOWN(N($E45)*Paramètres!$C$17,0),Paramètres!$D$17)</f>
        <v>8869</v>
      </c>
      <c r="H45" s="11">
        <f>MIN(ROUNDDOWN(N($E45)*Paramètres!$C$18,0),Paramètres!$D$18)</f>
        <v>8869</v>
      </c>
      <c r="I45" s="11">
        <f t="shared" si="4"/>
        <v>124172</v>
      </c>
      <c r="J45" s="12">
        <v>0</v>
      </c>
      <c r="K45" s="13" t="str">
        <f>IF(I45&lt;Paramètres!$C$11,"Cadre inférieur","Cadre supérieur")</f>
        <v>Cadre inférieur</v>
      </c>
      <c r="L45" s="11">
        <f>MIN(F45,MIN(N($E45)*Paramètres!$C$16,Paramètres!$D$16))+MIN(G45,MIN(N($E45)*Paramètres!$C$17,Paramètres!$D$17))+MIN(H45,MIN(N($E45)*Paramètres!$C$18,Paramètres!$D$18))</f>
        <v>53215</v>
      </c>
      <c r="M45" s="11">
        <f>MIN(N($E45),Paramètres!$C$7)*Paramètres!$C$6</f>
        <v>9756.2849999999999</v>
      </c>
      <c r="N45" s="11">
        <f>MIN(M45,I45*Paramètres!$C$8)</f>
        <v>9756.2849999999999</v>
      </c>
      <c r="O45" s="11">
        <f>I45*IF(K45="Cadre supérieur",Paramètres!$C$10,Paramètres!$C$9)</f>
        <v>31043</v>
      </c>
      <c r="P45" s="11">
        <f t="shared" si="5"/>
        <v>83300</v>
      </c>
      <c r="Q45" s="11">
        <f>SUMPRODUCT((P45&gt;Paramètres!$B$21:$B$27)*(P45-Paramètres!$B$21:$B$27)*Paramètres!$E$21:$E$27)</f>
        <v>7108.1</v>
      </c>
      <c r="R45" s="11">
        <f>Q45*INDEX(Paramètres!$C$31:$C$38,MIN(MAX(INT(N(J45)),0),7)+1)</f>
        <v>0</v>
      </c>
      <c r="S45" s="14">
        <f t="shared" si="6"/>
        <v>7108</v>
      </c>
      <c r="T45" s="11">
        <f>ROUND(N($E45)*Paramètres!$C$13,0)</f>
        <v>5322</v>
      </c>
      <c r="U45" s="11">
        <f>ROUND(MAX(0,N($E45)-(Q45-R45)-M45)*Paramètres!$C$12,0)</f>
        <v>1605</v>
      </c>
      <c r="V45" s="14">
        <f t="shared" si="7"/>
        <v>158918</v>
      </c>
    </row>
    <row r="46" spans="2:22" ht="17.25" customHeight="1" x14ac:dyDescent="0.35">
      <c r="B46" s="7">
        <v>40</v>
      </c>
      <c r="C46" s="8" t="s">
        <v>66</v>
      </c>
      <c r="D46" s="9">
        <v>44562</v>
      </c>
      <c r="E46" s="40">
        <v>866830</v>
      </c>
      <c r="F46" s="11">
        <f>MIN(ROUNDDOWN(N($E46)*Paramètres!$C$16,0),Paramètres!$D$16)</f>
        <v>75000</v>
      </c>
      <c r="G46" s="11">
        <f>MIN(ROUNDDOWN(N($E46)*Paramètres!$C$17,0),Paramètres!$D$17)</f>
        <v>30000</v>
      </c>
      <c r="H46" s="11">
        <f>MIN(ROUNDDOWN(N($E46)*Paramètres!$C$18,0),Paramètres!$D$18)</f>
        <v>43341</v>
      </c>
      <c r="I46" s="11">
        <f t="shared" si="4"/>
        <v>718489</v>
      </c>
      <c r="J46" s="12">
        <v>0</v>
      </c>
      <c r="K46" s="13" t="str">
        <f>IF(I46&lt;Paramètres!$C$11,"Cadre inférieur","Cadre supérieur")</f>
        <v>Cadre supérieur</v>
      </c>
      <c r="L46" s="11">
        <f>MIN(F46,MIN(N($E46)*Paramètres!$C$16,Paramètres!$D$16))+MIN(G46,MIN(N($E46)*Paramètres!$C$17,Paramètres!$D$17))+MIN(H46,MIN(N($E46)*Paramètres!$C$18,Paramètres!$D$18))</f>
        <v>148341</v>
      </c>
      <c r="M46" s="11">
        <f>MIN(N($E46),Paramètres!$C$7)*Paramètres!$C$6</f>
        <v>44000</v>
      </c>
      <c r="N46" s="11">
        <f>MIN(M46,I46*Paramètres!$C$8)</f>
        <v>44000</v>
      </c>
      <c r="O46" s="11">
        <f>I46*IF(K46="Cadre supérieur",Paramètres!$C$10,Paramètres!$C$9)</f>
        <v>143697.80000000002</v>
      </c>
      <c r="P46" s="11">
        <f t="shared" si="5"/>
        <v>530700</v>
      </c>
      <c r="Q46" s="11">
        <f>SUMPRODUCT((P46&gt;Paramètres!$B$21:$B$27)*(P46-Paramètres!$B$21:$B$27)*Paramètres!$E$21:$E$27)</f>
        <v>109605</v>
      </c>
      <c r="R46" s="11">
        <f>Q46*INDEX(Paramètres!$C$31:$C$38,MIN(MAX(INT(N(J46)),0),7)+1)</f>
        <v>0</v>
      </c>
      <c r="S46" s="14">
        <f t="shared" si="6"/>
        <v>109605</v>
      </c>
      <c r="T46" s="11">
        <f>ROUND(N($E46)*Paramètres!$C$13,0)</f>
        <v>26005</v>
      </c>
      <c r="U46" s="11">
        <f>ROUND(MAX(0,N($E46)-(Q46-R46)-M46)*Paramètres!$C$12,0)</f>
        <v>7132</v>
      </c>
      <c r="V46" s="14">
        <f t="shared" si="7"/>
        <v>706093</v>
      </c>
    </row>
    <row r="47" spans="2:22" ht="17.25" customHeight="1" x14ac:dyDescent="0.35">
      <c r="B47" s="7">
        <v>41</v>
      </c>
      <c r="C47" s="8" t="s">
        <v>67</v>
      </c>
      <c r="D47" s="9">
        <v>46213</v>
      </c>
      <c r="E47" s="40">
        <v>177387</v>
      </c>
      <c r="F47" s="11">
        <f>MIN(ROUNDDOWN(N($E47)*Paramètres!$C$16,0),Paramètres!$D$16)</f>
        <v>35477</v>
      </c>
      <c r="G47" s="11">
        <f>MIN(ROUNDDOWN(N($E47)*Paramètres!$C$17,0),Paramètres!$D$17)</f>
        <v>8869</v>
      </c>
      <c r="H47" s="11">
        <f>MIN(ROUNDDOWN(N($E47)*Paramètres!$C$18,0),Paramètres!$D$18)</f>
        <v>8869</v>
      </c>
      <c r="I47" s="11">
        <f t="shared" si="4"/>
        <v>124172</v>
      </c>
      <c r="J47" s="12">
        <v>0</v>
      </c>
      <c r="K47" s="13" t="str">
        <f>IF(I47&lt;Paramètres!$C$11,"Cadre inférieur","Cadre supérieur")</f>
        <v>Cadre inférieur</v>
      </c>
      <c r="L47" s="11">
        <f>MIN(F47,MIN(N($E47)*Paramètres!$C$16,Paramètres!$D$16))+MIN(G47,MIN(N($E47)*Paramètres!$C$17,Paramètres!$D$17))+MIN(H47,MIN(N($E47)*Paramètres!$C$18,Paramètres!$D$18))</f>
        <v>53215</v>
      </c>
      <c r="M47" s="11">
        <f>MIN(N($E47),Paramètres!$C$7)*Paramètres!$C$6</f>
        <v>9756.2849999999999</v>
      </c>
      <c r="N47" s="11">
        <f>MIN(M47,I47*Paramètres!$C$8)</f>
        <v>9756.2849999999999</v>
      </c>
      <c r="O47" s="11">
        <f>I47*IF(K47="Cadre supérieur",Paramètres!$C$10,Paramètres!$C$9)</f>
        <v>31043</v>
      </c>
      <c r="P47" s="11">
        <f t="shared" si="5"/>
        <v>83300</v>
      </c>
      <c r="Q47" s="11">
        <f>SUMPRODUCT((P47&gt;Paramètres!$B$21:$B$27)*(P47-Paramètres!$B$21:$B$27)*Paramètres!$E$21:$E$27)</f>
        <v>7108.1</v>
      </c>
      <c r="R47" s="11">
        <f>Q47*INDEX(Paramètres!$C$31:$C$38,MIN(MAX(INT(N(J47)),0),7)+1)</f>
        <v>0</v>
      </c>
      <c r="S47" s="14">
        <f t="shared" si="6"/>
        <v>7108</v>
      </c>
      <c r="T47" s="11">
        <f>ROUND(N($E47)*Paramètres!$C$13,0)</f>
        <v>5322</v>
      </c>
      <c r="U47" s="11">
        <f>ROUND(MAX(0,N($E47)-(Q47-R47)-M47)*Paramètres!$C$12,0)</f>
        <v>1605</v>
      </c>
      <c r="V47" s="14">
        <f t="shared" si="7"/>
        <v>158918</v>
      </c>
    </row>
    <row r="48" spans="2:22" ht="17.25" customHeight="1" x14ac:dyDescent="0.35">
      <c r="B48" s="7">
        <v>42</v>
      </c>
      <c r="C48" s="8" t="s">
        <v>68</v>
      </c>
      <c r="D48" s="9">
        <v>46218</v>
      </c>
      <c r="E48" s="40">
        <v>177387</v>
      </c>
      <c r="F48" s="11">
        <f>MIN(ROUNDDOWN(N($E48)*Paramètres!$C$16,0),Paramètres!$D$16)</f>
        <v>35477</v>
      </c>
      <c r="G48" s="11">
        <f>MIN(ROUNDDOWN(N($E48)*Paramètres!$C$17,0),Paramètres!$D$17)</f>
        <v>8869</v>
      </c>
      <c r="H48" s="11">
        <f>MIN(ROUNDDOWN(N($E48)*Paramètres!$C$18,0),Paramètres!$D$18)</f>
        <v>8869</v>
      </c>
      <c r="I48" s="11">
        <f t="shared" si="4"/>
        <v>124172</v>
      </c>
      <c r="J48" s="12">
        <v>0</v>
      </c>
      <c r="K48" s="13" t="str">
        <f>IF(I48&lt;Paramètres!$C$11,"Cadre inférieur","Cadre supérieur")</f>
        <v>Cadre inférieur</v>
      </c>
      <c r="L48" s="11">
        <f>MIN(F48,MIN(N($E48)*Paramètres!$C$16,Paramètres!$D$16))+MIN(G48,MIN(N($E48)*Paramètres!$C$17,Paramètres!$D$17))+MIN(H48,MIN(N($E48)*Paramètres!$C$18,Paramètres!$D$18))</f>
        <v>53215</v>
      </c>
      <c r="M48" s="11">
        <f>MIN(N($E48),Paramètres!$C$7)*Paramètres!$C$6</f>
        <v>9756.2849999999999</v>
      </c>
      <c r="N48" s="11">
        <f>MIN(M48,I48*Paramètres!$C$8)</f>
        <v>9756.2849999999999</v>
      </c>
      <c r="O48" s="11">
        <f>I48*IF(K48="Cadre supérieur",Paramètres!$C$10,Paramètres!$C$9)</f>
        <v>31043</v>
      </c>
      <c r="P48" s="11">
        <f t="shared" si="5"/>
        <v>83300</v>
      </c>
      <c r="Q48" s="11">
        <f>SUMPRODUCT((P48&gt;Paramètres!$B$21:$B$27)*(P48-Paramètres!$B$21:$B$27)*Paramètres!$E$21:$E$27)</f>
        <v>7108.1</v>
      </c>
      <c r="R48" s="11">
        <f>Q48*INDEX(Paramètres!$C$31:$C$38,MIN(MAX(INT(N(J48)),0),7)+1)</f>
        <v>0</v>
      </c>
      <c r="S48" s="14">
        <f t="shared" si="6"/>
        <v>7108</v>
      </c>
      <c r="T48" s="11">
        <f>ROUND(N($E48)*Paramètres!$C$13,0)</f>
        <v>5322</v>
      </c>
      <c r="U48" s="11">
        <f>ROUND(MAX(0,N($E48)-(Q48-R48)-M48)*Paramètres!$C$12,0)</f>
        <v>1605</v>
      </c>
      <c r="V48" s="14">
        <f t="shared" si="7"/>
        <v>158918</v>
      </c>
    </row>
    <row r="49" spans="2:22" ht="17.25" customHeight="1" x14ac:dyDescent="0.35">
      <c r="B49" s="7">
        <v>43</v>
      </c>
      <c r="C49" s="8" t="s">
        <v>69</v>
      </c>
      <c r="D49" s="9">
        <v>46144</v>
      </c>
      <c r="E49" s="40">
        <v>108397</v>
      </c>
      <c r="F49" s="11">
        <f>MIN(ROUNDDOWN(N($E49)*Paramètres!$C$16,0),Paramètres!$D$16)</f>
        <v>21679</v>
      </c>
      <c r="G49" s="11">
        <f>MIN(ROUNDDOWN(N($E49)*Paramètres!$C$17,0),Paramètres!$D$17)</f>
        <v>5419</v>
      </c>
      <c r="H49" s="11">
        <f>MIN(ROUNDDOWN(N($E49)*Paramètres!$C$18,0),Paramètres!$D$18)</f>
        <v>5419</v>
      </c>
      <c r="I49" s="11">
        <f t="shared" si="4"/>
        <v>75880</v>
      </c>
      <c r="J49" s="12">
        <v>0</v>
      </c>
      <c r="K49" s="13" t="str">
        <f>IF(I49&lt;Paramètres!$C$11,"Cadre inférieur","Cadre supérieur")</f>
        <v>Cadre inférieur</v>
      </c>
      <c r="L49" s="11">
        <f>MIN(F49,MIN(N($E49)*Paramètres!$C$16,Paramètres!$D$16))+MIN(G49,MIN(N($E49)*Paramètres!$C$17,Paramètres!$D$17))+MIN(H49,MIN(N($E49)*Paramètres!$C$18,Paramètres!$D$18))</f>
        <v>32517</v>
      </c>
      <c r="M49" s="11">
        <f>MIN(N($E49),Paramètres!$C$7)*Paramètres!$C$6</f>
        <v>5961.835</v>
      </c>
      <c r="N49" s="11">
        <f>MIN(M49,I49*Paramètres!$C$8)</f>
        <v>5961.835</v>
      </c>
      <c r="O49" s="11">
        <f>I49*IF(K49="Cadre supérieur",Paramètres!$C$10,Paramètres!$C$9)</f>
        <v>18970</v>
      </c>
      <c r="P49" s="11">
        <f t="shared" si="5"/>
        <v>50900</v>
      </c>
      <c r="Q49" s="11">
        <f>SUMPRODUCT((P49&gt;Paramètres!$B$21:$B$27)*(P49-Paramètres!$B$21:$B$27)*Paramètres!$E$21:$E$27)</f>
        <v>2545.1</v>
      </c>
      <c r="R49" s="11">
        <f>Q49*INDEX(Paramètres!$C$31:$C$38,MIN(MAX(INT(N(J49)),0),7)+1)</f>
        <v>0</v>
      </c>
      <c r="S49" s="14">
        <f t="shared" si="6"/>
        <v>2545</v>
      </c>
      <c r="T49" s="11">
        <f>ROUND(N($E49)*Paramètres!$C$13,0)</f>
        <v>3252</v>
      </c>
      <c r="U49" s="11">
        <f>ROUND(MAX(0,N($E49)-(Q49-R49)-M49)*Paramètres!$C$12,0)</f>
        <v>999</v>
      </c>
      <c r="V49" s="14">
        <f t="shared" si="7"/>
        <v>98891</v>
      </c>
    </row>
    <row r="50" spans="2:22" x14ac:dyDescent="0.35">
      <c r="B50" s="7">
        <v>44</v>
      </c>
      <c r="C50" s="8" t="s">
        <v>70</v>
      </c>
      <c r="D50" s="19"/>
      <c r="E50" s="40">
        <v>225778</v>
      </c>
      <c r="F50" s="11">
        <f>MIN(ROUNDDOWN(N($E50)*Paramètres!$C$16,0),Paramètres!$D$16)</f>
        <v>45155</v>
      </c>
      <c r="G50" s="11">
        <f>MIN(ROUNDDOWN(N($E50)*Paramètres!$C$17,0),Paramètres!$D$17)</f>
        <v>11288</v>
      </c>
      <c r="H50" s="11">
        <f>MIN(ROUNDDOWN(N($E50)*Paramètres!$C$18,0),Paramètres!$D$18)</f>
        <v>11288</v>
      </c>
      <c r="I50" s="11">
        <f t="shared" si="4"/>
        <v>158047</v>
      </c>
      <c r="J50" s="12">
        <v>0</v>
      </c>
      <c r="K50" s="13" t="str">
        <f>IF(I50&lt;Paramètres!$C$11,"Cadre inférieur","Cadre supérieur")</f>
        <v>Cadre supérieur</v>
      </c>
      <c r="L50" s="11">
        <f>MIN(F50,MIN(N($E50)*Paramètres!$C$16,Paramètres!$D$16))+MIN(G50,MIN(N($E50)*Paramètres!$C$17,Paramètres!$D$17))+MIN(H50,MIN(N($E50)*Paramètres!$C$18,Paramètres!$D$18))</f>
        <v>67731</v>
      </c>
      <c r="M50" s="11">
        <f>MIN(N($E50),Paramètres!$C$7)*Paramètres!$C$6</f>
        <v>12417.79</v>
      </c>
      <c r="N50" s="11">
        <f>MIN(M50,I50*Paramètres!$C$8)</f>
        <v>12417.79</v>
      </c>
      <c r="O50" s="11">
        <f>I50*IF(K50="Cadre supérieur",Paramètres!$C$10,Paramètres!$C$9)</f>
        <v>31609.4</v>
      </c>
      <c r="P50" s="11">
        <f t="shared" si="5"/>
        <v>114000</v>
      </c>
      <c r="Q50" s="11">
        <f>SUMPRODUCT((P50&gt;Paramètres!$B$21:$B$27)*(P50-Paramètres!$B$21:$B$27)*Paramètres!$E$21:$E$27)</f>
        <v>11928</v>
      </c>
      <c r="R50" s="11">
        <f>Q50*INDEX(Paramètres!$C$31:$C$38,MIN(MAX(INT(N(J50)),0),7)+1)</f>
        <v>0</v>
      </c>
      <c r="S50" s="14">
        <f t="shared" si="6"/>
        <v>11928</v>
      </c>
      <c r="T50" s="11">
        <f>ROUND(N($E50)*Paramètres!$C$13,0)</f>
        <v>6773</v>
      </c>
      <c r="U50" s="11">
        <f>ROUND(MAX(0,N($E50)-(Q50-R50)-M50)*Paramètres!$C$12,0)</f>
        <v>2014</v>
      </c>
      <c r="V50" s="14">
        <f t="shared" si="7"/>
        <v>199418</v>
      </c>
    </row>
    <row r="51" spans="2:22" ht="17.25" customHeight="1" x14ac:dyDescent="0.35">
      <c r="B51" s="7">
        <v>45</v>
      </c>
      <c r="C51" s="8" t="s">
        <v>71</v>
      </c>
      <c r="D51" s="9">
        <v>46011</v>
      </c>
      <c r="E51" s="40">
        <v>177387</v>
      </c>
      <c r="F51" s="11">
        <f>MIN(ROUNDDOWN(N($E51)*Paramètres!$C$16,0),Paramètres!$D$16)</f>
        <v>35477</v>
      </c>
      <c r="G51" s="11">
        <f>MIN(ROUNDDOWN(N($E51)*Paramètres!$C$17,0),Paramètres!$D$17)</f>
        <v>8869</v>
      </c>
      <c r="H51" s="11">
        <f>MIN(ROUNDDOWN(N($E51)*Paramètres!$C$18,0),Paramètres!$D$18)</f>
        <v>8869</v>
      </c>
      <c r="I51" s="11">
        <f t="shared" si="4"/>
        <v>124172</v>
      </c>
      <c r="J51" s="12">
        <v>0</v>
      </c>
      <c r="K51" s="13" t="str">
        <f>IF(I51&lt;Paramètres!$C$11,"Cadre inférieur","Cadre supérieur")</f>
        <v>Cadre inférieur</v>
      </c>
      <c r="L51" s="11">
        <f>MIN(F51,MIN(N($E51)*Paramètres!$C$16,Paramètres!$D$16))+MIN(G51,MIN(N($E51)*Paramètres!$C$17,Paramètres!$D$17))+MIN(H51,MIN(N($E51)*Paramètres!$C$18,Paramètres!$D$18))</f>
        <v>53215</v>
      </c>
      <c r="M51" s="11">
        <f>MIN(N($E51),Paramètres!$C$7)*Paramètres!$C$6</f>
        <v>9756.2849999999999</v>
      </c>
      <c r="N51" s="11">
        <f>MIN(M51,I51*Paramètres!$C$8)</f>
        <v>9756.2849999999999</v>
      </c>
      <c r="O51" s="11">
        <f>I51*IF(K51="Cadre supérieur",Paramètres!$C$10,Paramètres!$C$9)</f>
        <v>31043</v>
      </c>
      <c r="P51" s="11">
        <f t="shared" si="5"/>
        <v>83300</v>
      </c>
      <c r="Q51" s="11">
        <f>SUMPRODUCT((P51&gt;Paramètres!$B$21:$B$27)*(P51-Paramètres!$B$21:$B$27)*Paramètres!$E$21:$E$27)</f>
        <v>7108.1</v>
      </c>
      <c r="R51" s="11">
        <f>Q51*INDEX(Paramètres!$C$31:$C$38,MIN(MAX(INT(N(J51)),0),7)+1)</f>
        <v>0</v>
      </c>
      <c r="S51" s="14">
        <f t="shared" si="6"/>
        <v>7108</v>
      </c>
      <c r="T51" s="11">
        <f>ROUND(N($E51)*Paramètres!$C$13,0)</f>
        <v>5322</v>
      </c>
      <c r="U51" s="11">
        <f>ROUND(MAX(0,N($E51)-(Q51-R51)-M51)*Paramètres!$C$12,0)</f>
        <v>1605</v>
      </c>
      <c r="V51" s="14">
        <f t="shared" si="7"/>
        <v>158918</v>
      </c>
    </row>
    <row r="52" spans="2:22" ht="17.25" customHeight="1" x14ac:dyDescent="0.35">
      <c r="B52" s="7">
        <v>46</v>
      </c>
      <c r="C52" s="8" t="s">
        <v>72</v>
      </c>
      <c r="D52" s="9">
        <v>46183</v>
      </c>
      <c r="E52" s="40">
        <v>177387</v>
      </c>
      <c r="F52" s="11">
        <f>MIN(ROUNDDOWN(N($E52)*Paramètres!$C$16,0),Paramètres!$D$16)</f>
        <v>35477</v>
      </c>
      <c r="G52" s="11">
        <f>MIN(ROUNDDOWN(N($E52)*Paramètres!$C$17,0),Paramètres!$D$17)</f>
        <v>8869</v>
      </c>
      <c r="H52" s="11">
        <f>MIN(ROUNDDOWN(N($E52)*Paramètres!$C$18,0),Paramètres!$D$18)</f>
        <v>8869</v>
      </c>
      <c r="I52" s="11">
        <f t="shared" si="4"/>
        <v>124172</v>
      </c>
      <c r="J52" s="12">
        <v>0</v>
      </c>
      <c r="K52" s="13" t="str">
        <f>IF(I52&lt;Paramètres!$C$11,"Cadre inférieur","Cadre supérieur")</f>
        <v>Cadre inférieur</v>
      </c>
      <c r="L52" s="11">
        <f>MIN(F52,MIN(N($E52)*Paramètres!$C$16,Paramètres!$D$16))+MIN(G52,MIN(N($E52)*Paramètres!$C$17,Paramètres!$D$17))+MIN(H52,MIN(N($E52)*Paramètres!$C$18,Paramètres!$D$18))</f>
        <v>53215</v>
      </c>
      <c r="M52" s="11">
        <f>MIN(N($E52),Paramètres!$C$7)*Paramètres!$C$6</f>
        <v>9756.2849999999999</v>
      </c>
      <c r="N52" s="11">
        <f>MIN(M52,I52*Paramètres!$C$8)</f>
        <v>9756.2849999999999</v>
      </c>
      <c r="O52" s="11">
        <f>I52*IF(K52="Cadre supérieur",Paramètres!$C$10,Paramètres!$C$9)</f>
        <v>31043</v>
      </c>
      <c r="P52" s="11">
        <f t="shared" si="5"/>
        <v>83300</v>
      </c>
      <c r="Q52" s="11">
        <f>SUMPRODUCT((P52&gt;Paramètres!$B$21:$B$27)*(P52-Paramètres!$B$21:$B$27)*Paramètres!$E$21:$E$27)</f>
        <v>7108.1</v>
      </c>
      <c r="R52" s="11">
        <f>Q52*INDEX(Paramètres!$C$31:$C$38,MIN(MAX(INT(N(J52)),0),7)+1)</f>
        <v>0</v>
      </c>
      <c r="S52" s="14">
        <f t="shared" si="6"/>
        <v>7108</v>
      </c>
      <c r="T52" s="11">
        <f>ROUND(N($E52)*Paramètres!$C$13,0)</f>
        <v>5322</v>
      </c>
      <c r="U52" s="11">
        <f>ROUND(MAX(0,N($E52)-(Q52-R52)-M52)*Paramètres!$C$12,0)</f>
        <v>1605</v>
      </c>
      <c r="V52" s="14">
        <f t="shared" si="7"/>
        <v>158918</v>
      </c>
    </row>
    <row r="53" spans="2:22" ht="17.25" customHeight="1" x14ac:dyDescent="0.35">
      <c r="B53" s="7">
        <v>47</v>
      </c>
      <c r="C53" s="8" t="s">
        <v>73</v>
      </c>
      <c r="D53" s="9">
        <v>45784</v>
      </c>
      <c r="E53" s="40">
        <v>108397</v>
      </c>
      <c r="F53" s="11">
        <f>MIN(ROUNDDOWN(N($E53)*Paramètres!$C$16,0),Paramètres!$D$16)</f>
        <v>21679</v>
      </c>
      <c r="G53" s="11">
        <f>MIN(ROUNDDOWN(N($E53)*Paramètres!$C$17,0),Paramètres!$D$17)</f>
        <v>5419</v>
      </c>
      <c r="H53" s="11">
        <f>MIN(ROUNDDOWN(N($E53)*Paramètres!$C$18,0),Paramètres!$D$18)</f>
        <v>5419</v>
      </c>
      <c r="I53" s="11">
        <f t="shared" si="4"/>
        <v>75880</v>
      </c>
      <c r="J53" s="12">
        <v>0</v>
      </c>
      <c r="K53" s="13" t="str">
        <f>IF(I53&lt;Paramètres!$C$11,"Cadre inférieur","Cadre supérieur")</f>
        <v>Cadre inférieur</v>
      </c>
      <c r="L53" s="11">
        <f>MIN(F53,MIN(N($E53)*Paramètres!$C$16,Paramètres!$D$16))+MIN(G53,MIN(N($E53)*Paramètres!$C$17,Paramètres!$D$17))+MIN(H53,MIN(N($E53)*Paramètres!$C$18,Paramètres!$D$18))</f>
        <v>32517</v>
      </c>
      <c r="M53" s="11">
        <f>MIN(N($E53),Paramètres!$C$7)*Paramètres!$C$6</f>
        <v>5961.835</v>
      </c>
      <c r="N53" s="11">
        <f>MIN(M53,I53*Paramètres!$C$8)</f>
        <v>5961.835</v>
      </c>
      <c r="O53" s="11">
        <f>I53*IF(K53="Cadre supérieur",Paramètres!$C$10,Paramètres!$C$9)</f>
        <v>18970</v>
      </c>
      <c r="P53" s="11">
        <f t="shared" si="5"/>
        <v>50900</v>
      </c>
      <c r="Q53" s="11">
        <f>SUMPRODUCT((P53&gt;Paramètres!$B$21:$B$27)*(P53-Paramètres!$B$21:$B$27)*Paramètres!$E$21:$E$27)</f>
        <v>2545.1</v>
      </c>
      <c r="R53" s="11">
        <f>Q53*INDEX(Paramètres!$C$31:$C$38,MIN(MAX(INT(N(J53)),0),7)+1)</f>
        <v>0</v>
      </c>
      <c r="S53" s="14">
        <f t="shared" si="6"/>
        <v>2545</v>
      </c>
      <c r="T53" s="11">
        <f>ROUND(N($E53)*Paramètres!$C$13,0)</f>
        <v>3252</v>
      </c>
      <c r="U53" s="11">
        <f>ROUND(MAX(0,N($E53)-(Q53-R53)-M53)*Paramètres!$C$12,0)</f>
        <v>999</v>
      </c>
      <c r="V53" s="14">
        <f t="shared" si="7"/>
        <v>98891</v>
      </c>
    </row>
    <row r="54" spans="2:22" ht="17.25" customHeight="1" x14ac:dyDescent="0.35">
      <c r="B54" s="7">
        <v>48</v>
      </c>
      <c r="C54" s="8" t="s">
        <v>74</v>
      </c>
      <c r="D54" s="9">
        <v>46000</v>
      </c>
      <c r="E54" s="40">
        <v>177387</v>
      </c>
      <c r="F54" s="11">
        <f>MIN(ROUNDDOWN(N($E54)*Paramètres!$C$16,0),Paramètres!$D$16)</f>
        <v>35477</v>
      </c>
      <c r="G54" s="11">
        <f>MIN(ROUNDDOWN(N($E54)*Paramètres!$C$17,0),Paramètres!$D$17)</f>
        <v>8869</v>
      </c>
      <c r="H54" s="11">
        <f>MIN(ROUNDDOWN(N($E54)*Paramètres!$C$18,0),Paramètres!$D$18)</f>
        <v>8869</v>
      </c>
      <c r="I54" s="11">
        <f t="shared" si="4"/>
        <v>124172</v>
      </c>
      <c r="J54" s="12">
        <v>0</v>
      </c>
      <c r="K54" s="13" t="str">
        <f>IF(I54&lt;Paramètres!$C$11,"Cadre inférieur","Cadre supérieur")</f>
        <v>Cadre inférieur</v>
      </c>
      <c r="L54" s="11">
        <f>MIN(F54,MIN(N($E54)*Paramètres!$C$16,Paramètres!$D$16))+MIN(G54,MIN(N($E54)*Paramètres!$C$17,Paramètres!$D$17))+MIN(H54,MIN(N($E54)*Paramètres!$C$18,Paramètres!$D$18))</f>
        <v>53215</v>
      </c>
      <c r="M54" s="11">
        <f>MIN(N($E54),Paramètres!$C$7)*Paramètres!$C$6</f>
        <v>9756.2849999999999</v>
      </c>
      <c r="N54" s="11">
        <f>MIN(M54,I54*Paramètres!$C$8)</f>
        <v>9756.2849999999999</v>
      </c>
      <c r="O54" s="11">
        <f>I54*IF(K54="Cadre supérieur",Paramètres!$C$10,Paramètres!$C$9)</f>
        <v>31043</v>
      </c>
      <c r="P54" s="11">
        <f t="shared" si="5"/>
        <v>83300</v>
      </c>
      <c r="Q54" s="11">
        <f>SUMPRODUCT((P54&gt;Paramètres!$B$21:$B$27)*(P54-Paramètres!$B$21:$B$27)*Paramètres!$E$21:$E$27)</f>
        <v>7108.1</v>
      </c>
      <c r="R54" s="11">
        <f>Q54*INDEX(Paramètres!$C$31:$C$38,MIN(MAX(INT(N(J54)),0),7)+1)</f>
        <v>0</v>
      </c>
      <c r="S54" s="14">
        <f t="shared" si="6"/>
        <v>7108</v>
      </c>
      <c r="T54" s="11">
        <f>ROUND(N($E54)*Paramètres!$C$13,0)</f>
        <v>5322</v>
      </c>
      <c r="U54" s="11">
        <f>ROUND(MAX(0,N($E54)-(Q54-R54)-M54)*Paramètres!$C$12,0)</f>
        <v>1605</v>
      </c>
      <c r="V54" s="14">
        <f t="shared" si="7"/>
        <v>158918</v>
      </c>
    </row>
    <row r="55" spans="2:22" ht="17.25" customHeight="1" x14ac:dyDescent="0.35">
      <c r="B55" s="7">
        <v>49</v>
      </c>
      <c r="C55" s="8" t="s">
        <v>75</v>
      </c>
      <c r="D55" s="9">
        <v>46204</v>
      </c>
      <c r="E55" s="40">
        <v>177387</v>
      </c>
      <c r="F55" s="11">
        <f>MIN(ROUNDDOWN(N($E55)*Paramètres!$C$16,0),Paramètres!$D$16)</f>
        <v>35477</v>
      </c>
      <c r="G55" s="11">
        <f>MIN(ROUNDDOWN(N($E55)*Paramètres!$C$17,0),Paramètres!$D$17)</f>
        <v>8869</v>
      </c>
      <c r="H55" s="11">
        <f>MIN(ROUNDDOWN(N($E55)*Paramètres!$C$18,0),Paramètres!$D$18)</f>
        <v>8869</v>
      </c>
      <c r="I55" s="11">
        <f t="shared" si="4"/>
        <v>124172</v>
      </c>
      <c r="J55" s="12">
        <v>0</v>
      </c>
      <c r="K55" s="13" t="str">
        <f>IF(I55&lt;Paramètres!$C$11,"Cadre inférieur","Cadre supérieur")</f>
        <v>Cadre inférieur</v>
      </c>
      <c r="L55" s="11">
        <f>MIN(F55,MIN(N($E55)*Paramètres!$C$16,Paramètres!$D$16))+MIN(G55,MIN(N($E55)*Paramètres!$C$17,Paramètres!$D$17))+MIN(H55,MIN(N($E55)*Paramètres!$C$18,Paramètres!$D$18))</f>
        <v>53215</v>
      </c>
      <c r="M55" s="11">
        <f>MIN(N($E55),Paramètres!$C$7)*Paramètres!$C$6</f>
        <v>9756.2849999999999</v>
      </c>
      <c r="N55" s="11">
        <f>MIN(M55,I55*Paramètres!$C$8)</f>
        <v>9756.2849999999999</v>
      </c>
      <c r="O55" s="11">
        <f>I55*IF(K55="Cadre supérieur",Paramètres!$C$10,Paramètres!$C$9)</f>
        <v>31043</v>
      </c>
      <c r="P55" s="11">
        <f t="shared" si="5"/>
        <v>83300</v>
      </c>
      <c r="Q55" s="11">
        <f>SUMPRODUCT((P55&gt;Paramètres!$B$21:$B$27)*(P55-Paramètres!$B$21:$B$27)*Paramètres!$E$21:$E$27)</f>
        <v>7108.1</v>
      </c>
      <c r="R55" s="11">
        <f>Q55*INDEX(Paramètres!$C$31:$C$38,MIN(MAX(INT(N(J55)),0),7)+1)</f>
        <v>0</v>
      </c>
      <c r="S55" s="14">
        <f t="shared" si="6"/>
        <v>7108</v>
      </c>
      <c r="T55" s="11">
        <f>ROUND(N($E55)*Paramètres!$C$13,0)</f>
        <v>5322</v>
      </c>
      <c r="U55" s="11">
        <f>ROUND(MAX(0,N($E55)-(Q55-R55)-M55)*Paramètres!$C$12,0)</f>
        <v>1605</v>
      </c>
      <c r="V55" s="14">
        <f t="shared" si="7"/>
        <v>158918</v>
      </c>
    </row>
    <row r="56" spans="2:22" ht="17.25" customHeight="1" x14ac:dyDescent="0.35">
      <c r="B56" s="7">
        <v>50</v>
      </c>
      <c r="C56" s="8" t="s">
        <v>76</v>
      </c>
      <c r="D56" s="9">
        <v>46088</v>
      </c>
      <c r="E56" s="40">
        <v>135983</v>
      </c>
      <c r="F56" s="11">
        <f>MIN(ROUNDDOWN(N($E56)*Paramètres!$C$16,0),Paramètres!$D$16)</f>
        <v>27196</v>
      </c>
      <c r="G56" s="11">
        <f>MIN(ROUNDDOWN(N($E56)*Paramètres!$C$17,0),Paramètres!$D$17)</f>
        <v>6799</v>
      </c>
      <c r="H56" s="11">
        <f>MIN(ROUNDDOWN(N($E56)*Paramètres!$C$18,0),Paramètres!$D$18)</f>
        <v>6799</v>
      </c>
      <c r="I56" s="11">
        <f t="shared" si="4"/>
        <v>95189</v>
      </c>
      <c r="J56" s="12">
        <v>0</v>
      </c>
      <c r="K56" s="13" t="str">
        <f>IF(I56&lt;Paramètres!$C$11,"Cadre inférieur","Cadre supérieur")</f>
        <v>Cadre inférieur</v>
      </c>
      <c r="L56" s="11">
        <f>MIN(F56,MIN(N($E56)*Paramètres!$C$16,Paramètres!$D$16))+MIN(G56,MIN(N($E56)*Paramètres!$C$17,Paramètres!$D$17))+MIN(H56,MIN(N($E56)*Paramètres!$C$18,Paramètres!$D$18))</f>
        <v>40794</v>
      </c>
      <c r="M56" s="11">
        <f>MIN(N($E56),Paramètres!$C$7)*Paramètres!$C$6</f>
        <v>7479.0649999999996</v>
      </c>
      <c r="N56" s="11">
        <f>MIN(M56,I56*Paramètres!$C$8)</f>
        <v>7479.0649999999996</v>
      </c>
      <c r="O56" s="11">
        <f>I56*IF(K56="Cadre supérieur",Paramètres!$C$10,Paramètres!$C$9)</f>
        <v>23797.25</v>
      </c>
      <c r="P56" s="11">
        <f t="shared" si="5"/>
        <v>63900</v>
      </c>
      <c r="Q56" s="11">
        <f>SUMPRODUCT((P56&gt;Paramètres!$B$21:$B$27)*(P56-Paramètres!$B$21:$B$27)*Paramètres!$E$21:$E$27)</f>
        <v>4352.0999999999995</v>
      </c>
      <c r="R56" s="11">
        <f>Q56*INDEX(Paramètres!$C$31:$C$38,MIN(MAX(INT(N(J56)),0),7)+1)</f>
        <v>0</v>
      </c>
      <c r="S56" s="14">
        <f t="shared" si="6"/>
        <v>4352</v>
      </c>
      <c r="T56" s="11">
        <f>ROUND(N($E56)*Paramètres!$C$13,0)</f>
        <v>4079</v>
      </c>
      <c r="U56" s="11">
        <f>ROUND(MAX(0,N($E56)-(Q56-R56)-M56)*Paramètres!$C$12,0)</f>
        <v>1242</v>
      </c>
      <c r="V56" s="14">
        <f t="shared" si="7"/>
        <v>122910</v>
      </c>
    </row>
    <row r="57" spans="2:22" ht="17.25" customHeight="1" x14ac:dyDescent="0.35">
      <c r="B57" s="7">
        <v>51</v>
      </c>
      <c r="C57" s="8" t="s">
        <v>77</v>
      </c>
      <c r="D57" s="9">
        <v>45766</v>
      </c>
      <c r="E57" s="40">
        <v>471355</v>
      </c>
      <c r="F57" s="11">
        <f>MIN(ROUNDDOWN(N($E57)*Paramètres!$C$16,0),Paramètres!$D$16)</f>
        <v>75000</v>
      </c>
      <c r="G57" s="11">
        <f>MIN(ROUNDDOWN(N($E57)*Paramètres!$C$17,0),Paramètres!$D$17)</f>
        <v>23567</v>
      </c>
      <c r="H57" s="11">
        <f>MIN(ROUNDDOWN(N($E57)*Paramètres!$C$18,0),Paramètres!$D$18)</f>
        <v>23567</v>
      </c>
      <c r="I57" s="11">
        <f t="shared" si="4"/>
        <v>349221</v>
      </c>
      <c r="J57" s="12">
        <v>0</v>
      </c>
      <c r="K57" s="13" t="str">
        <f>IF(I57&lt;Paramètres!$C$11,"Cadre inférieur","Cadre supérieur")</f>
        <v>Cadre supérieur</v>
      </c>
      <c r="L57" s="11">
        <f>MIN(F57,MIN(N($E57)*Paramètres!$C$16,Paramètres!$D$16))+MIN(G57,MIN(N($E57)*Paramètres!$C$17,Paramètres!$D$17))+MIN(H57,MIN(N($E57)*Paramètres!$C$18,Paramètres!$D$18))</f>
        <v>122134</v>
      </c>
      <c r="M57" s="11">
        <f>MIN(N($E57),Paramètres!$C$7)*Paramètres!$C$6</f>
        <v>25924.525000000001</v>
      </c>
      <c r="N57" s="11">
        <f>MIN(M57,I57*Paramètres!$C$8)</f>
        <v>25924.525000000001</v>
      </c>
      <c r="O57" s="11">
        <f>I57*IF(K57="Cadre supérieur",Paramètres!$C$10,Paramètres!$C$9)</f>
        <v>69844.2</v>
      </c>
      <c r="P57" s="11">
        <f t="shared" si="5"/>
        <v>253400</v>
      </c>
      <c r="Q57" s="11">
        <f>SUMPRODUCT((P57&gt;Paramètres!$B$21:$B$27)*(P57-Paramètres!$B$21:$B$27)*Paramètres!$E$21:$E$27)</f>
        <v>40280</v>
      </c>
      <c r="R57" s="11">
        <f>Q57*INDEX(Paramètres!$C$31:$C$38,MIN(MAX(INT(N(J57)),0),7)+1)</f>
        <v>0</v>
      </c>
      <c r="S57" s="14">
        <f t="shared" si="6"/>
        <v>40280</v>
      </c>
      <c r="T57" s="11">
        <f>ROUND(N($E57)*Paramètres!$C$13,0)</f>
        <v>14141</v>
      </c>
      <c r="U57" s="11">
        <f>ROUND(MAX(0,N($E57)-(Q57-R57)-M57)*Paramètres!$C$12,0)</f>
        <v>4052</v>
      </c>
      <c r="V57" s="14">
        <f t="shared" si="7"/>
        <v>401098</v>
      </c>
    </row>
    <row r="58" spans="2:22" ht="17.25" customHeight="1" x14ac:dyDescent="0.35">
      <c r="B58" s="7">
        <v>52</v>
      </c>
      <c r="C58" s="8" t="s">
        <v>78</v>
      </c>
      <c r="D58" s="9">
        <v>45778</v>
      </c>
      <c r="E58" s="40">
        <v>213563</v>
      </c>
      <c r="F58" s="11">
        <f>MIN(ROUNDDOWN(N($E58)*Paramètres!$C$16,0),Paramètres!$D$16)</f>
        <v>42712</v>
      </c>
      <c r="G58" s="11">
        <f>MIN(ROUNDDOWN(N($E58)*Paramètres!$C$17,0),Paramètres!$D$17)</f>
        <v>10678</v>
      </c>
      <c r="H58" s="11">
        <f>MIN(ROUNDDOWN(N($E58)*Paramètres!$C$18,0),Paramètres!$D$18)</f>
        <v>10678</v>
      </c>
      <c r="I58" s="11">
        <f t="shared" si="4"/>
        <v>149495</v>
      </c>
      <c r="J58" s="12">
        <v>0</v>
      </c>
      <c r="K58" s="13" t="str">
        <f>IF(I58&lt;Paramètres!$C$11,"Cadre inférieur","Cadre supérieur")</f>
        <v>Cadre inférieur</v>
      </c>
      <c r="L58" s="11">
        <f>MIN(F58,MIN(N($E58)*Paramètres!$C$16,Paramètres!$D$16))+MIN(G58,MIN(N($E58)*Paramètres!$C$17,Paramètres!$D$17))+MIN(H58,MIN(N($E58)*Paramètres!$C$18,Paramètres!$D$18))</f>
        <v>64068</v>
      </c>
      <c r="M58" s="11">
        <f>MIN(N($E58),Paramètres!$C$7)*Paramètres!$C$6</f>
        <v>11745.965</v>
      </c>
      <c r="N58" s="11">
        <f>MIN(M58,I58*Paramètres!$C$8)</f>
        <v>11745.965</v>
      </c>
      <c r="O58" s="11">
        <f>I58*IF(K58="Cadre supérieur",Paramètres!$C$10,Paramètres!$C$9)</f>
        <v>37373.75</v>
      </c>
      <c r="P58" s="11">
        <f t="shared" si="5"/>
        <v>100300</v>
      </c>
      <c r="Q58" s="11">
        <f>SUMPRODUCT((P58&gt;Paramètres!$B$21:$B$27)*(P58-Paramètres!$B$21:$B$27)*Paramètres!$E$21:$E$27)</f>
        <v>9777.1</v>
      </c>
      <c r="R58" s="11">
        <f>Q58*INDEX(Paramètres!$C$31:$C$38,MIN(MAX(INT(N(J58)),0),7)+1)</f>
        <v>0</v>
      </c>
      <c r="S58" s="14">
        <f t="shared" si="6"/>
        <v>9777</v>
      </c>
      <c r="T58" s="11">
        <f>ROUND(N($E58)*Paramètres!$C$13,0)</f>
        <v>6407</v>
      </c>
      <c r="U58" s="11">
        <f>ROUND(MAX(0,N($E58)-(Q58-R58)-M58)*Paramètres!$C$12,0)</f>
        <v>1920</v>
      </c>
      <c r="V58" s="14">
        <f t="shared" si="7"/>
        <v>190120</v>
      </c>
    </row>
    <row r="59" spans="2:22" ht="17.25" customHeight="1" x14ac:dyDescent="0.35">
      <c r="B59" s="7">
        <v>53</v>
      </c>
      <c r="C59" s="8" t="s">
        <v>79</v>
      </c>
      <c r="D59" s="9">
        <v>45778</v>
      </c>
      <c r="E59" s="40">
        <v>213563</v>
      </c>
      <c r="F59" s="11">
        <f>MIN(ROUNDDOWN(N($E59)*Paramètres!$C$16,0),Paramètres!$D$16)</f>
        <v>42712</v>
      </c>
      <c r="G59" s="11">
        <f>MIN(ROUNDDOWN(N($E59)*Paramètres!$C$17,0),Paramètres!$D$17)</f>
        <v>10678</v>
      </c>
      <c r="H59" s="11">
        <f>MIN(ROUNDDOWN(N($E59)*Paramètres!$C$18,0),Paramètres!$D$18)</f>
        <v>10678</v>
      </c>
      <c r="I59" s="11">
        <f t="shared" si="4"/>
        <v>149495</v>
      </c>
      <c r="J59" s="12">
        <v>0</v>
      </c>
      <c r="K59" s="13" t="str">
        <f>IF(I59&lt;Paramètres!$C$11,"Cadre inférieur","Cadre supérieur")</f>
        <v>Cadre inférieur</v>
      </c>
      <c r="L59" s="11">
        <f>MIN(F59,MIN(N($E59)*Paramètres!$C$16,Paramètres!$D$16))+MIN(G59,MIN(N($E59)*Paramètres!$C$17,Paramètres!$D$17))+MIN(H59,MIN(N($E59)*Paramètres!$C$18,Paramètres!$D$18))</f>
        <v>64068</v>
      </c>
      <c r="M59" s="11">
        <f>MIN(N($E59),Paramètres!$C$7)*Paramètres!$C$6</f>
        <v>11745.965</v>
      </c>
      <c r="N59" s="11">
        <f>MIN(M59,I59*Paramètres!$C$8)</f>
        <v>11745.965</v>
      </c>
      <c r="O59" s="11">
        <f>I59*IF(K59="Cadre supérieur",Paramètres!$C$10,Paramètres!$C$9)</f>
        <v>37373.75</v>
      </c>
      <c r="P59" s="11">
        <f t="shared" si="5"/>
        <v>100300</v>
      </c>
      <c r="Q59" s="11">
        <f>SUMPRODUCT((P59&gt;Paramètres!$B$21:$B$27)*(P59-Paramètres!$B$21:$B$27)*Paramètres!$E$21:$E$27)</f>
        <v>9777.1</v>
      </c>
      <c r="R59" s="11">
        <f>Q59*INDEX(Paramètres!$C$31:$C$38,MIN(MAX(INT(N(J59)),0),7)+1)</f>
        <v>0</v>
      </c>
      <c r="S59" s="14">
        <f t="shared" si="6"/>
        <v>9777</v>
      </c>
      <c r="T59" s="11">
        <f>ROUND(N($E59)*Paramètres!$C$13,0)</f>
        <v>6407</v>
      </c>
      <c r="U59" s="11">
        <f>ROUND(MAX(0,N($E59)-(Q59-R59)-M59)*Paramètres!$C$12,0)</f>
        <v>1920</v>
      </c>
      <c r="V59" s="14">
        <f t="shared" si="7"/>
        <v>190120</v>
      </c>
    </row>
    <row r="60" spans="2:22" ht="17.25" customHeight="1" x14ac:dyDescent="0.35">
      <c r="B60" s="7">
        <v>54</v>
      </c>
      <c r="C60" s="8" t="s">
        <v>80</v>
      </c>
      <c r="D60" s="9"/>
      <c r="E60" s="40">
        <v>108397</v>
      </c>
      <c r="F60" s="11">
        <f>MIN(ROUNDDOWN(N($E60)*Paramètres!$C$16,0),Paramètres!$D$16)</f>
        <v>21679</v>
      </c>
      <c r="G60" s="11">
        <f>MIN(ROUNDDOWN(N($E60)*Paramètres!$C$17,0),Paramètres!$D$17)</f>
        <v>5419</v>
      </c>
      <c r="H60" s="11">
        <f>MIN(ROUNDDOWN(N($E60)*Paramètres!$C$18,0),Paramètres!$D$18)</f>
        <v>5419</v>
      </c>
      <c r="I60" s="11">
        <f t="shared" si="4"/>
        <v>75880</v>
      </c>
      <c r="J60" s="12">
        <v>0</v>
      </c>
      <c r="K60" s="13" t="str">
        <f>IF(I60&lt;Paramètres!$C$11,"Cadre inférieur","Cadre supérieur")</f>
        <v>Cadre inférieur</v>
      </c>
      <c r="L60" s="11">
        <f>MIN(F60,MIN(N($E60)*Paramètres!$C$16,Paramètres!$D$16))+MIN(G60,MIN(N($E60)*Paramètres!$C$17,Paramètres!$D$17))+MIN(H60,MIN(N($E60)*Paramètres!$C$18,Paramètres!$D$18))</f>
        <v>32517</v>
      </c>
      <c r="M60" s="11">
        <f>MIN(N($E60),Paramètres!$C$7)*Paramètres!$C$6</f>
        <v>5961.835</v>
      </c>
      <c r="N60" s="11">
        <f>MIN(M60,I60*Paramètres!$C$8)</f>
        <v>5961.835</v>
      </c>
      <c r="O60" s="11">
        <f>I60*IF(K60="Cadre supérieur",Paramètres!$C$10,Paramètres!$C$9)</f>
        <v>18970</v>
      </c>
      <c r="P60" s="11">
        <f t="shared" si="5"/>
        <v>50900</v>
      </c>
      <c r="Q60" s="11">
        <f>SUMPRODUCT((P60&gt;Paramètres!$B$21:$B$27)*(P60-Paramètres!$B$21:$B$27)*Paramètres!$E$21:$E$27)</f>
        <v>2545.1</v>
      </c>
      <c r="R60" s="11">
        <f>Q60*INDEX(Paramètres!$C$31:$C$38,MIN(MAX(INT(N(J60)),0),7)+1)</f>
        <v>0</v>
      </c>
      <c r="S60" s="14">
        <f t="shared" si="6"/>
        <v>2545</v>
      </c>
      <c r="T60" s="11">
        <f>ROUND(N($E60)*Paramètres!$C$13,0)</f>
        <v>3252</v>
      </c>
      <c r="U60" s="11">
        <f>ROUND(MAX(0,N($E60)-(Q60-R60)-M60)*Paramètres!$C$12,0)</f>
        <v>999</v>
      </c>
      <c r="V60" s="14">
        <f t="shared" si="7"/>
        <v>98891</v>
      </c>
    </row>
    <row r="61" spans="2:22" ht="17.25" customHeight="1" x14ac:dyDescent="0.35">
      <c r="B61" s="7">
        <v>55</v>
      </c>
      <c r="C61" s="8" t="s">
        <v>81</v>
      </c>
      <c r="D61" s="9">
        <v>45778</v>
      </c>
      <c r="E61" s="40">
        <v>177387</v>
      </c>
      <c r="F61" s="11">
        <f>MIN(ROUNDDOWN(N($E61)*Paramètres!$C$16,0),Paramètres!$D$16)</f>
        <v>35477</v>
      </c>
      <c r="G61" s="11">
        <f>MIN(ROUNDDOWN(N($E61)*Paramètres!$C$17,0),Paramètres!$D$17)</f>
        <v>8869</v>
      </c>
      <c r="H61" s="11">
        <f>MIN(ROUNDDOWN(N($E61)*Paramètres!$C$18,0),Paramètres!$D$18)</f>
        <v>8869</v>
      </c>
      <c r="I61" s="11">
        <f t="shared" si="4"/>
        <v>124172</v>
      </c>
      <c r="J61" s="12">
        <v>0</v>
      </c>
      <c r="K61" s="13" t="str">
        <f>IF(I61&lt;Paramètres!$C$11,"Cadre inférieur","Cadre supérieur")</f>
        <v>Cadre inférieur</v>
      </c>
      <c r="L61" s="11">
        <f>MIN(F61,MIN(N($E61)*Paramètres!$C$16,Paramètres!$D$16))+MIN(G61,MIN(N($E61)*Paramètres!$C$17,Paramètres!$D$17))+MIN(H61,MIN(N($E61)*Paramètres!$C$18,Paramètres!$D$18))</f>
        <v>53215</v>
      </c>
      <c r="M61" s="11">
        <f>MIN(N($E61),Paramètres!$C$7)*Paramètres!$C$6</f>
        <v>9756.2849999999999</v>
      </c>
      <c r="N61" s="11">
        <f>MIN(M61,I61*Paramètres!$C$8)</f>
        <v>9756.2849999999999</v>
      </c>
      <c r="O61" s="11">
        <f>I61*IF(K61="Cadre supérieur",Paramètres!$C$10,Paramètres!$C$9)</f>
        <v>31043</v>
      </c>
      <c r="P61" s="11">
        <f t="shared" si="5"/>
        <v>83300</v>
      </c>
      <c r="Q61" s="11">
        <f>SUMPRODUCT((P61&gt;Paramètres!$B$21:$B$27)*(P61-Paramètres!$B$21:$B$27)*Paramètres!$E$21:$E$27)</f>
        <v>7108.1</v>
      </c>
      <c r="R61" s="11">
        <f>Q61*INDEX(Paramètres!$C$31:$C$38,MIN(MAX(INT(N(J61)),0),7)+1)</f>
        <v>0</v>
      </c>
      <c r="S61" s="14">
        <f t="shared" si="6"/>
        <v>7108</v>
      </c>
      <c r="T61" s="11">
        <f>ROUND(N($E61)*Paramètres!$C$13,0)</f>
        <v>5322</v>
      </c>
      <c r="U61" s="11">
        <f>ROUND(MAX(0,N($E61)-(Q61-R61)-M61)*Paramètres!$C$12,0)</f>
        <v>1605</v>
      </c>
      <c r="V61" s="14">
        <f t="shared" si="7"/>
        <v>158918</v>
      </c>
    </row>
    <row r="62" spans="2:22" ht="17.25" customHeight="1" x14ac:dyDescent="0.35">
      <c r="B62" s="7">
        <v>56</v>
      </c>
      <c r="C62" s="8" t="s">
        <v>82</v>
      </c>
      <c r="D62" s="9">
        <v>46235</v>
      </c>
      <c r="E62" s="40">
        <v>177387</v>
      </c>
      <c r="F62" s="11">
        <f>MIN(ROUNDDOWN(N($E62)*Paramètres!$C$16,0),Paramètres!$D$16)</f>
        <v>35477</v>
      </c>
      <c r="G62" s="11">
        <f>MIN(ROUNDDOWN(N($E62)*Paramètres!$C$17,0),Paramètres!$D$17)</f>
        <v>8869</v>
      </c>
      <c r="H62" s="11">
        <f>MIN(ROUNDDOWN(N($E62)*Paramètres!$C$18,0),Paramètres!$D$18)</f>
        <v>8869</v>
      </c>
      <c r="I62" s="11">
        <f t="shared" si="4"/>
        <v>124172</v>
      </c>
      <c r="J62" s="12">
        <v>0</v>
      </c>
      <c r="K62" s="13" t="str">
        <f>IF(I62&lt;Paramètres!$C$11,"Cadre inférieur","Cadre supérieur")</f>
        <v>Cadre inférieur</v>
      </c>
      <c r="L62" s="11">
        <f>MIN(F62,MIN(N($E62)*Paramètres!$C$16,Paramètres!$D$16))+MIN(G62,MIN(N($E62)*Paramètres!$C$17,Paramètres!$D$17))+MIN(H62,MIN(N($E62)*Paramètres!$C$18,Paramètres!$D$18))</f>
        <v>53215</v>
      </c>
      <c r="M62" s="11">
        <f>MIN(N($E62),Paramètres!$C$7)*Paramètres!$C$6</f>
        <v>9756.2849999999999</v>
      </c>
      <c r="N62" s="11">
        <f>MIN(M62,I62*Paramètres!$C$8)</f>
        <v>9756.2849999999999</v>
      </c>
      <c r="O62" s="11">
        <f>I62*IF(K62="Cadre supérieur",Paramètres!$C$10,Paramètres!$C$9)</f>
        <v>31043</v>
      </c>
      <c r="P62" s="11">
        <f t="shared" si="5"/>
        <v>83300</v>
      </c>
      <c r="Q62" s="11">
        <f>SUMPRODUCT((P62&gt;Paramètres!$B$21:$B$27)*(P62-Paramètres!$B$21:$B$27)*Paramètres!$E$21:$E$27)</f>
        <v>7108.1</v>
      </c>
      <c r="R62" s="11">
        <f>Q62*INDEX(Paramètres!$C$31:$C$38,MIN(MAX(INT(N(J62)),0),7)+1)</f>
        <v>0</v>
      </c>
      <c r="S62" s="14">
        <f t="shared" si="6"/>
        <v>7108</v>
      </c>
      <c r="T62" s="11">
        <f>ROUND(N($E62)*Paramètres!$C$13,0)</f>
        <v>5322</v>
      </c>
      <c r="U62" s="11">
        <f>ROUND(MAX(0,N($E62)-(Q62-R62)-M62)*Paramètres!$C$12,0)</f>
        <v>1605</v>
      </c>
      <c r="V62" s="14">
        <f t="shared" si="7"/>
        <v>158918</v>
      </c>
    </row>
    <row r="63" spans="2:22" ht="17.25" customHeight="1" x14ac:dyDescent="0.35">
      <c r="B63" s="7">
        <v>57</v>
      </c>
      <c r="C63" s="8" t="s">
        <v>83</v>
      </c>
      <c r="D63" s="9">
        <v>46175</v>
      </c>
      <c r="E63" s="40">
        <v>213566</v>
      </c>
      <c r="F63" s="11">
        <f>MIN(ROUNDDOWN(N($E63)*Paramètres!$C$16,0),Paramètres!$D$16)</f>
        <v>42713</v>
      </c>
      <c r="G63" s="11">
        <f>MIN(ROUNDDOWN(N($E63)*Paramètres!$C$17,0),Paramètres!$D$17)</f>
        <v>10678</v>
      </c>
      <c r="H63" s="11">
        <f>MIN(ROUNDDOWN(N($E63)*Paramètres!$C$18,0),Paramètres!$D$18)</f>
        <v>10678</v>
      </c>
      <c r="I63" s="11">
        <f t="shared" si="4"/>
        <v>149497</v>
      </c>
      <c r="J63" s="12">
        <v>0</v>
      </c>
      <c r="K63" s="13" t="str">
        <f>IF(I63&lt;Paramètres!$C$11,"Cadre inférieur","Cadre supérieur")</f>
        <v>Cadre inférieur</v>
      </c>
      <c r="L63" s="11">
        <f>MIN(F63,MIN(N($E63)*Paramètres!$C$16,Paramètres!$D$16))+MIN(G63,MIN(N($E63)*Paramètres!$C$17,Paramètres!$D$17))+MIN(H63,MIN(N($E63)*Paramètres!$C$18,Paramètres!$D$18))</f>
        <v>64069</v>
      </c>
      <c r="M63" s="11">
        <f>MIN(N($E63),Paramètres!$C$7)*Paramètres!$C$6</f>
        <v>11746.13</v>
      </c>
      <c r="N63" s="11">
        <f>MIN(M63,I63*Paramètres!$C$8)</f>
        <v>11746.13</v>
      </c>
      <c r="O63" s="11">
        <f>I63*IF(K63="Cadre supérieur",Paramètres!$C$10,Paramètres!$C$9)</f>
        <v>37374.25</v>
      </c>
      <c r="P63" s="11">
        <f t="shared" si="5"/>
        <v>100300</v>
      </c>
      <c r="Q63" s="11">
        <f>SUMPRODUCT((P63&gt;Paramètres!$B$21:$B$27)*(P63-Paramètres!$B$21:$B$27)*Paramètres!$E$21:$E$27)</f>
        <v>9777.1</v>
      </c>
      <c r="R63" s="11">
        <f>Q63*INDEX(Paramètres!$C$31:$C$38,MIN(MAX(INT(N(J63)),0),7)+1)</f>
        <v>0</v>
      </c>
      <c r="S63" s="14">
        <f t="shared" si="6"/>
        <v>9777</v>
      </c>
      <c r="T63" s="11">
        <f>ROUND(N($E63)*Paramètres!$C$13,0)</f>
        <v>6407</v>
      </c>
      <c r="U63" s="11">
        <f>ROUND(MAX(0,N($E63)-(Q63-R63)-M63)*Paramètres!$C$12,0)</f>
        <v>1920</v>
      </c>
      <c r="V63" s="14">
        <f t="shared" si="7"/>
        <v>190123</v>
      </c>
    </row>
    <row r="64" spans="2:22" ht="17.25" customHeight="1" x14ac:dyDescent="0.35">
      <c r="B64" s="7">
        <v>58</v>
      </c>
      <c r="C64" s="8" t="s">
        <v>84</v>
      </c>
      <c r="D64" s="9">
        <v>45901</v>
      </c>
      <c r="E64" s="40">
        <v>213566</v>
      </c>
      <c r="F64" s="11">
        <f>MIN(ROUNDDOWN(N($E64)*Paramètres!$C$16,0),Paramètres!$D$16)</f>
        <v>42713</v>
      </c>
      <c r="G64" s="11">
        <f>MIN(ROUNDDOWN(N($E64)*Paramètres!$C$17,0),Paramètres!$D$17)</f>
        <v>10678</v>
      </c>
      <c r="H64" s="11">
        <f>MIN(ROUNDDOWN(N($E64)*Paramètres!$C$18,0),Paramètres!$D$18)</f>
        <v>10678</v>
      </c>
      <c r="I64" s="11">
        <f t="shared" si="4"/>
        <v>149497</v>
      </c>
      <c r="J64" s="12">
        <v>0</v>
      </c>
      <c r="K64" s="13" t="str">
        <f>IF(I64&lt;Paramètres!$C$11,"Cadre inférieur","Cadre supérieur")</f>
        <v>Cadre inférieur</v>
      </c>
      <c r="L64" s="11">
        <f>MIN(F64,MIN(N($E64)*Paramètres!$C$16,Paramètres!$D$16))+MIN(G64,MIN(N($E64)*Paramètres!$C$17,Paramètres!$D$17))+MIN(H64,MIN(N($E64)*Paramètres!$C$18,Paramètres!$D$18))</f>
        <v>64069</v>
      </c>
      <c r="M64" s="11">
        <f>MIN(N($E64),Paramètres!$C$7)*Paramètres!$C$6</f>
        <v>11746.13</v>
      </c>
      <c r="N64" s="11">
        <f>MIN(M64,I64*Paramètres!$C$8)</f>
        <v>11746.13</v>
      </c>
      <c r="O64" s="11">
        <f>I64*IF(K64="Cadre supérieur",Paramètres!$C$10,Paramètres!$C$9)</f>
        <v>37374.25</v>
      </c>
      <c r="P64" s="11">
        <f t="shared" si="5"/>
        <v>100300</v>
      </c>
      <c r="Q64" s="11">
        <f>SUMPRODUCT((P64&gt;Paramètres!$B$21:$B$27)*(P64-Paramètres!$B$21:$B$27)*Paramètres!$E$21:$E$27)</f>
        <v>9777.1</v>
      </c>
      <c r="R64" s="11">
        <f>Q64*INDEX(Paramètres!$C$31:$C$38,MIN(MAX(INT(N(J64)),0),7)+1)</f>
        <v>0</v>
      </c>
      <c r="S64" s="14">
        <f t="shared" si="6"/>
        <v>9777</v>
      </c>
      <c r="T64" s="11">
        <f>ROUND(N($E64)*Paramètres!$C$13,0)</f>
        <v>6407</v>
      </c>
      <c r="U64" s="11">
        <f>ROUND(MAX(0,N($E64)-(Q64-R64)-M64)*Paramètres!$C$12,0)</f>
        <v>1920</v>
      </c>
      <c r="V64" s="14">
        <f t="shared" si="7"/>
        <v>190123</v>
      </c>
    </row>
    <row r="65" spans="2:22" ht="17.25" customHeight="1" x14ac:dyDescent="0.35">
      <c r="B65" s="7">
        <v>59</v>
      </c>
      <c r="C65" s="8" t="s">
        <v>85</v>
      </c>
      <c r="D65" s="9">
        <v>45802</v>
      </c>
      <c r="E65" s="40">
        <v>177387</v>
      </c>
      <c r="F65" s="11">
        <f>MIN(ROUNDDOWN(N($E65)*Paramètres!$C$16,0),Paramètres!$D$16)</f>
        <v>35477</v>
      </c>
      <c r="G65" s="11">
        <f>MIN(ROUNDDOWN(N($E65)*Paramètres!$C$17,0),Paramètres!$D$17)</f>
        <v>8869</v>
      </c>
      <c r="H65" s="11">
        <f>MIN(ROUNDDOWN(N($E65)*Paramètres!$C$18,0),Paramètres!$D$18)</f>
        <v>8869</v>
      </c>
      <c r="I65" s="11">
        <f t="shared" si="4"/>
        <v>124172</v>
      </c>
      <c r="J65" s="12">
        <v>0</v>
      </c>
      <c r="K65" s="13" t="str">
        <f>IF(I65&lt;Paramètres!$C$11,"Cadre inférieur","Cadre supérieur")</f>
        <v>Cadre inférieur</v>
      </c>
      <c r="L65" s="11">
        <f>MIN(F65,MIN(N($E65)*Paramètres!$C$16,Paramètres!$D$16))+MIN(G65,MIN(N($E65)*Paramètres!$C$17,Paramètres!$D$17))+MIN(H65,MIN(N($E65)*Paramètres!$C$18,Paramètres!$D$18))</f>
        <v>53215</v>
      </c>
      <c r="M65" s="11">
        <f>MIN(N($E65),Paramètres!$C$7)*Paramètres!$C$6</f>
        <v>9756.2849999999999</v>
      </c>
      <c r="N65" s="11">
        <f>MIN(M65,I65*Paramètres!$C$8)</f>
        <v>9756.2849999999999</v>
      </c>
      <c r="O65" s="11">
        <f>I65*IF(K65="Cadre supérieur",Paramètres!$C$10,Paramètres!$C$9)</f>
        <v>31043</v>
      </c>
      <c r="P65" s="11">
        <f t="shared" si="5"/>
        <v>83300</v>
      </c>
      <c r="Q65" s="11">
        <f>SUMPRODUCT((P65&gt;Paramètres!$B$21:$B$27)*(P65-Paramètres!$B$21:$B$27)*Paramètres!$E$21:$E$27)</f>
        <v>7108.1</v>
      </c>
      <c r="R65" s="11">
        <f>Q65*INDEX(Paramètres!$C$31:$C$38,MIN(MAX(INT(N(J65)),0),7)+1)</f>
        <v>0</v>
      </c>
      <c r="S65" s="14">
        <f t="shared" si="6"/>
        <v>7108</v>
      </c>
      <c r="T65" s="11">
        <f>ROUND(N($E65)*Paramètres!$C$13,0)</f>
        <v>5322</v>
      </c>
      <c r="U65" s="11">
        <f>ROUND(MAX(0,N($E65)-(Q65-R65)-M65)*Paramètres!$C$12,0)</f>
        <v>1605</v>
      </c>
      <c r="V65" s="14">
        <f t="shared" si="7"/>
        <v>158918</v>
      </c>
    </row>
    <row r="66" spans="2:22" ht="17.25" customHeight="1" x14ac:dyDescent="0.35">
      <c r="B66" s="7">
        <v>60</v>
      </c>
      <c r="C66" s="8" t="s">
        <v>85</v>
      </c>
      <c r="D66" s="9"/>
      <c r="E66" s="40">
        <v>108397</v>
      </c>
      <c r="F66" s="11">
        <f>MIN(ROUNDDOWN(N($E66)*Paramètres!$C$16,0),Paramètres!$D$16)</f>
        <v>21679</v>
      </c>
      <c r="G66" s="11">
        <f>MIN(ROUNDDOWN(N($E66)*Paramètres!$C$17,0),Paramètres!$D$17)</f>
        <v>5419</v>
      </c>
      <c r="H66" s="11">
        <f>MIN(ROUNDDOWN(N($E66)*Paramètres!$C$18,0),Paramètres!$D$18)</f>
        <v>5419</v>
      </c>
      <c r="I66" s="11">
        <f t="shared" si="4"/>
        <v>75880</v>
      </c>
      <c r="J66" s="12">
        <v>0</v>
      </c>
      <c r="K66" s="13" t="str">
        <f>IF(I66&lt;Paramètres!$C$11,"Cadre inférieur","Cadre supérieur")</f>
        <v>Cadre inférieur</v>
      </c>
      <c r="L66" s="11">
        <f>MIN(F66,MIN(N($E66)*Paramètres!$C$16,Paramètres!$D$16))+MIN(G66,MIN(N($E66)*Paramètres!$C$17,Paramètres!$D$17))+MIN(H66,MIN(N($E66)*Paramètres!$C$18,Paramètres!$D$18))</f>
        <v>32517</v>
      </c>
      <c r="M66" s="11">
        <f>MIN(N($E66),Paramètres!$C$7)*Paramètres!$C$6</f>
        <v>5961.835</v>
      </c>
      <c r="N66" s="11">
        <f>MIN(M66,I66*Paramètres!$C$8)</f>
        <v>5961.835</v>
      </c>
      <c r="O66" s="11">
        <f>I66*IF(K66="Cadre supérieur",Paramètres!$C$10,Paramètres!$C$9)</f>
        <v>18970</v>
      </c>
      <c r="P66" s="11">
        <f t="shared" si="5"/>
        <v>50900</v>
      </c>
      <c r="Q66" s="11">
        <f>SUMPRODUCT((P66&gt;Paramètres!$B$21:$B$27)*(P66-Paramètres!$B$21:$B$27)*Paramètres!$E$21:$E$27)</f>
        <v>2545.1</v>
      </c>
      <c r="R66" s="11">
        <f>Q66*INDEX(Paramètres!$C$31:$C$38,MIN(MAX(INT(N(J66)),0),7)+1)</f>
        <v>0</v>
      </c>
      <c r="S66" s="14">
        <f t="shared" si="6"/>
        <v>2545</v>
      </c>
      <c r="T66" s="11">
        <f>ROUND(N($E66)*Paramètres!$C$13,0)</f>
        <v>3252</v>
      </c>
      <c r="U66" s="11">
        <f>ROUND(MAX(0,N($E66)-(Q66-R66)-M66)*Paramètres!$C$12,0)</f>
        <v>999</v>
      </c>
      <c r="V66" s="14">
        <f t="shared" si="7"/>
        <v>98891</v>
      </c>
    </row>
    <row r="67" spans="2:22" ht="17.25" customHeight="1" x14ac:dyDescent="0.35">
      <c r="B67" s="7">
        <v>61</v>
      </c>
      <c r="C67" s="8" t="s">
        <v>86</v>
      </c>
      <c r="D67" s="9"/>
      <c r="E67" s="40">
        <v>177387</v>
      </c>
      <c r="F67" s="11">
        <f>MIN(ROUNDDOWN(N($E67)*Paramètres!$C$16,0),Paramètres!$D$16)</f>
        <v>35477</v>
      </c>
      <c r="G67" s="11">
        <f>MIN(ROUNDDOWN(N($E67)*Paramètres!$C$17,0),Paramètres!$D$17)</f>
        <v>8869</v>
      </c>
      <c r="H67" s="11">
        <f>MIN(ROUNDDOWN(N($E67)*Paramètres!$C$18,0),Paramètres!$D$18)</f>
        <v>8869</v>
      </c>
      <c r="I67" s="11">
        <f t="shared" si="4"/>
        <v>124172</v>
      </c>
      <c r="J67" s="12">
        <v>0</v>
      </c>
      <c r="K67" s="13" t="str">
        <f>IF(I67&lt;Paramètres!$C$11,"Cadre inférieur","Cadre supérieur")</f>
        <v>Cadre inférieur</v>
      </c>
      <c r="L67" s="11">
        <f>MIN(F67,MIN(N($E67)*Paramètres!$C$16,Paramètres!$D$16))+MIN(G67,MIN(N($E67)*Paramètres!$C$17,Paramètres!$D$17))+MIN(H67,MIN(N($E67)*Paramètres!$C$18,Paramètres!$D$18))</f>
        <v>53215</v>
      </c>
      <c r="M67" s="11">
        <f>MIN(N($E67),Paramètres!$C$7)*Paramètres!$C$6</f>
        <v>9756.2849999999999</v>
      </c>
      <c r="N67" s="11">
        <f>MIN(M67,I67*Paramètres!$C$8)</f>
        <v>9756.2849999999999</v>
      </c>
      <c r="O67" s="11">
        <f>I67*IF(K67="Cadre supérieur",Paramètres!$C$10,Paramètres!$C$9)</f>
        <v>31043</v>
      </c>
      <c r="P67" s="11">
        <f t="shared" si="5"/>
        <v>83300</v>
      </c>
      <c r="Q67" s="11">
        <f>SUMPRODUCT((P67&gt;Paramètres!$B$21:$B$27)*(P67-Paramètres!$B$21:$B$27)*Paramètres!$E$21:$E$27)</f>
        <v>7108.1</v>
      </c>
      <c r="R67" s="11">
        <f>Q67*INDEX(Paramètres!$C$31:$C$38,MIN(MAX(INT(N(J67)),0),7)+1)</f>
        <v>0</v>
      </c>
      <c r="S67" s="14">
        <f t="shared" si="6"/>
        <v>7108</v>
      </c>
      <c r="T67" s="11">
        <f>ROUND(N($E67)*Paramètres!$C$13,0)</f>
        <v>5322</v>
      </c>
      <c r="U67" s="11">
        <f>ROUND(MAX(0,N($E67)-(Q67-R67)-M67)*Paramètres!$C$12,0)</f>
        <v>1605</v>
      </c>
      <c r="V67" s="14">
        <f t="shared" si="7"/>
        <v>158918</v>
      </c>
    </row>
    <row r="68" spans="2:22" ht="17.25" customHeight="1" x14ac:dyDescent="0.35">
      <c r="B68" s="7">
        <v>62</v>
      </c>
      <c r="C68" s="8" t="s">
        <v>87</v>
      </c>
      <c r="D68" s="9">
        <v>45930</v>
      </c>
      <c r="E68" s="40">
        <v>471355</v>
      </c>
      <c r="F68" s="11">
        <f>MIN(ROUNDDOWN(N($E68)*Paramètres!$C$16,0),Paramètres!$D$16)</f>
        <v>75000</v>
      </c>
      <c r="G68" s="11">
        <f>MIN(ROUNDDOWN(N($E68)*Paramètres!$C$17,0),Paramètres!$D$17)</f>
        <v>23567</v>
      </c>
      <c r="H68" s="11">
        <f>MIN(ROUNDDOWN(N($E68)*Paramètres!$C$18,0),Paramètres!$D$18)</f>
        <v>23567</v>
      </c>
      <c r="I68" s="11">
        <f t="shared" si="4"/>
        <v>349221</v>
      </c>
      <c r="J68" s="12">
        <v>0</v>
      </c>
      <c r="K68" s="13" t="str">
        <f>IF(I68&lt;Paramètres!$C$11,"Cadre inférieur","Cadre supérieur")</f>
        <v>Cadre supérieur</v>
      </c>
      <c r="L68" s="11">
        <f>MIN(F68,MIN(N($E68)*Paramètres!$C$16,Paramètres!$D$16))+MIN(G68,MIN(N($E68)*Paramètres!$C$17,Paramètres!$D$17))+MIN(H68,MIN(N($E68)*Paramètres!$C$18,Paramètres!$D$18))</f>
        <v>122134</v>
      </c>
      <c r="M68" s="11">
        <f>MIN(N($E68),Paramètres!$C$7)*Paramètres!$C$6</f>
        <v>25924.525000000001</v>
      </c>
      <c r="N68" s="11">
        <f>MIN(M68,I68*Paramètres!$C$8)</f>
        <v>25924.525000000001</v>
      </c>
      <c r="O68" s="11">
        <f>I68*IF(K68="Cadre supérieur",Paramètres!$C$10,Paramètres!$C$9)</f>
        <v>69844.2</v>
      </c>
      <c r="P68" s="11">
        <f t="shared" si="5"/>
        <v>253400</v>
      </c>
      <c r="Q68" s="11">
        <f>SUMPRODUCT((P68&gt;Paramètres!$B$21:$B$27)*(P68-Paramètres!$B$21:$B$27)*Paramètres!$E$21:$E$27)</f>
        <v>40280</v>
      </c>
      <c r="R68" s="11">
        <f>Q68*INDEX(Paramètres!$C$31:$C$38,MIN(MAX(INT(N(J68)),0),7)+1)</f>
        <v>0</v>
      </c>
      <c r="S68" s="14">
        <f t="shared" si="6"/>
        <v>40280</v>
      </c>
      <c r="T68" s="11">
        <f>ROUND(N($E68)*Paramètres!$C$13,0)</f>
        <v>14141</v>
      </c>
      <c r="U68" s="11">
        <f>ROUND(MAX(0,N($E68)-(Q68-R68)-M68)*Paramètres!$C$12,0)</f>
        <v>4052</v>
      </c>
      <c r="V68" s="14">
        <f t="shared" si="7"/>
        <v>401098</v>
      </c>
    </row>
    <row r="69" spans="2:22" ht="17.25" customHeight="1" x14ac:dyDescent="0.35">
      <c r="B69" s="7">
        <v>63</v>
      </c>
      <c r="C69" s="8" t="s">
        <v>88</v>
      </c>
      <c r="D69" s="9">
        <v>45778</v>
      </c>
      <c r="E69" s="40">
        <v>231913</v>
      </c>
      <c r="F69" s="11">
        <f>MIN(ROUNDDOWN(N($E69)*Paramètres!$C$16,0),Paramètres!$D$16)</f>
        <v>46382</v>
      </c>
      <c r="G69" s="11">
        <f>MIN(ROUNDDOWN(N($E69)*Paramètres!$C$17,0),Paramètres!$D$17)</f>
        <v>11595</v>
      </c>
      <c r="H69" s="11">
        <f>MIN(ROUNDDOWN(N($E69)*Paramètres!$C$18,0),Paramètres!$D$18)</f>
        <v>11595</v>
      </c>
      <c r="I69" s="11">
        <f t="shared" si="4"/>
        <v>162341</v>
      </c>
      <c r="J69" s="12">
        <v>0</v>
      </c>
      <c r="K69" s="13" t="str">
        <f>IF(I69&lt;Paramètres!$C$11,"Cadre inférieur","Cadre supérieur")</f>
        <v>Cadre supérieur</v>
      </c>
      <c r="L69" s="11">
        <f>MIN(F69,MIN(N($E69)*Paramètres!$C$16,Paramètres!$D$16))+MIN(G69,MIN(N($E69)*Paramètres!$C$17,Paramètres!$D$17))+MIN(H69,MIN(N($E69)*Paramètres!$C$18,Paramètres!$D$18))</f>
        <v>69572</v>
      </c>
      <c r="M69" s="11">
        <f>MIN(N($E69),Paramètres!$C$7)*Paramètres!$C$6</f>
        <v>12755.215</v>
      </c>
      <c r="N69" s="11">
        <f>MIN(M69,I69*Paramètres!$C$8)</f>
        <v>12755.215</v>
      </c>
      <c r="O69" s="11">
        <f>I69*IF(K69="Cadre supérieur",Paramètres!$C$10,Paramètres!$C$9)</f>
        <v>32468.2</v>
      </c>
      <c r="P69" s="11">
        <f t="shared" si="5"/>
        <v>117100</v>
      </c>
      <c r="Q69" s="11">
        <f>SUMPRODUCT((P69&gt;Paramètres!$B$21:$B$27)*(P69-Paramètres!$B$21:$B$27)*Paramètres!$E$21:$E$27)</f>
        <v>12414.7</v>
      </c>
      <c r="R69" s="11">
        <f>Q69*INDEX(Paramètres!$C$31:$C$38,MIN(MAX(INT(N(J69)),0),7)+1)</f>
        <v>0</v>
      </c>
      <c r="S69" s="14">
        <f t="shared" si="6"/>
        <v>12415</v>
      </c>
      <c r="T69" s="11">
        <f>ROUND(N($E69)*Paramètres!$C$13,0)</f>
        <v>6957</v>
      </c>
      <c r="U69" s="11">
        <f>ROUND(MAX(0,N($E69)-(Q69-R69)-M69)*Paramètres!$C$12,0)</f>
        <v>2067</v>
      </c>
      <c r="V69" s="14">
        <f t="shared" si="7"/>
        <v>204676</v>
      </c>
    </row>
    <row r="70" spans="2:22" ht="17.25" customHeight="1" x14ac:dyDescent="0.35">
      <c r="B70" s="7">
        <v>64</v>
      </c>
      <c r="C70" s="8" t="s">
        <v>89</v>
      </c>
      <c r="D70" s="9">
        <v>45778</v>
      </c>
      <c r="E70" s="40">
        <v>213566</v>
      </c>
      <c r="F70" s="11">
        <f>MIN(ROUNDDOWN(N($E70)*Paramètres!$C$16,0),Paramètres!$D$16)</f>
        <v>42713</v>
      </c>
      <c r="G70" s="11">
        <f>MIN(ROUNDDOWN(N($E70)*Paramètres!$C$17,0),Paramètres!$D$17)</f>
        <v>10678</v>
      </c>
      <c r="H70" s="11">
        <f>MIN(ROUNDDOWN(N($E70)*Paramètres!$C$18,0),Paramètres!$D$18)</f>
        <v>10678</v>
      </c>
      <c r="I70" s="11">
        <f t="shared" si="4"/>
        <v>149497</v>
      </c>
      <c r="J70" s="12">
        <v>0</v>
      </c>
      <c r="K70" s="13" t="str">
        <f>IF(I70&lt;Paramètres!$C$11,"Cadre inférieur","Cadre supérieur")</f>
        <v>Cadre inférieur</v>
      </c>
      <c r="L70" s="11">
        <f>MIN(F70,MIN(N($E70)*Paramètres!$C$16,Paramètres!$D$16))+MIN(G70,MIN(N($E70)*Paramètres!$C$17,Paramètres!$D$17))+MIN(H70,MIN(N($E70)*Paramètres!$C$18,Paramètres!$D$18))</f>
        <v>64069</v>
      </c>
      <c r="M70" s="11">
        <f>MIN(N($E70),Paramètres!$C$7)*Paramètres!$C$6</f>
        <v>11746.13</v>
      </c>
      <c r="N70" s="11">
        <f>MIN(M70,I70*Paramètres!$C$8)</f>
        <v>11746.13</v>
      </c>
      <c r="O70" s="11">
        <f>I70*IF(K70="Cadre supérieur",Paramètres!$C$10,Paramètres!$C$9)</f>
        <v>37374.25</v>
      </c>
      <c r="P70" s="11">
        <f t="shared" si="5"/>
        <v>100300</v>
      </c>
      <c r="Q70" s="11">
        <f>SUMPRODUCT((P70&gt;Paramètres!$B$21:$B$27)*(P70-Paramètres!$B$21:$B$27)*Paramètres!$E$21:$E$27)</f>
        <v>9777.1</v>
      </c>
      <c r="R70" s="11">
        <f>Q70*INDEX(Paramètres!$C$31:$C$38,MIN(MAX(INT(N(J70)),0),7)+1)</f>
        <v>0</v>
      </c>
      <c r="S70" s="14">
        <f t="shared" si="6"/>
        <v>9777</v>
      </c>
      <c r="T70" s="11">
        <f>ROUND(N($E70)*Paramètres!$C$13,0)</f>
        <v>6407</v>
      </c>
      <c r="U70" s="11">
        <f>ROUND(MAX(0,N($E70)-(Q70-R70)-M70)*Paramètres!$C$12,0)</f>
        <v>1920</v>
      </c>
      <c r="V70" s="14">
        <f t="shared" si="7"/>
        <v>190123</v>
      </c>
    </row>
    <row r="71" spans="2:22" ht="17.25" customHeight="1" x14ac:dyDescent="0.35">
      <c r="B71" s="7">
        <v>65</v>
      </c>
      <c r="C71" s="8" t="s">
        <v>90</v>
      </c>
      <c r="D71" s="9">
        <v>45778</v>
      </c>
      <c r="E71" s="40">
        <v>213566</v>
      </c>
      <c r="F71" s="11">
        <f>MIN(ROUNDDOWN(N($E71)*Paramètres!$C$16,0),Paramètres!$D$16)</f>
        <v>42713</v>
      </c>
      <c r="G71" s="11">
        <f>MIN(ROUNDDOWN(N($E71)*Paramètres!$C$17,0),Paramètres!$D$17)</f>
        <v>10678</v>
      </c>
      <c r="H71" s="11">
        <f>MIN(ROUNDDOWN(N($E71)*Paramètres!$C$18,0),Paramètres!$D$18)</f>
        <v>10678</v>
      </c>
      <c r="I71" s="11">
        <f t="shared" ref="I71:I99" si="8">N($E71)-(F71+G71+H71)</f>
        <v>149497</v>
      </c>
      <c r="J71" s="12">
        <v>0</v>
      </c>
      <c r="K71" s="13" t="str">
        <f>IF(I71&lt;Paramètres!$C$11,"Cadre inférieur","Cadre supérieur")</f>
        <v>Cadre inférieur</v>
      </c>
      <c r="L71" s="11">
        <f>MIN(F71,MIN(N($E71)*Paramètres!$C$16,Paramètres!$D$16))+MIN(G71,MIN(N($E71)*Paramètres!$C$17,Paramètres!$D$17))+MIN(H71,MIN(N($E71)*Paramètres!$C$18,Paramètres!$D$18))</f>
        <v>64069</v>
      </c>
      <c r="M71" s="11">
        <f>MIN(N($E71),Paramètres!$C$7)*Paramètres!$C$6</f>
        <v>11746.13</v>
      </c>
      <c r="N71" s="11">
        <f>MIN(M71,I71*Paramètres!$C$8)</f>
        <v>11746.13</v>
      </c>
      <c r="O71" s="11">
        <f>I71*IF(K71="Cadre supérieur",Paramètres!$C$10,Paramètres!$C$9)</f>
        <v>37374.25</v>
      </c>
      <c r="P71" s="11">
        <f t="shared" ref="P71:P99" si="9">MAX(0,ROUNDDOWN(N($E71)-L71-N71-O71,-2))</f>
        <v>100300</v>
      </c>
      <c r="Q71" s="11">
        <f>SUMPRODUCT((P71&gt;Paramètres!$B$21:$B$27)*(P71-Paramètres!$B$21:$B$27)*Paramètres!$E$21:$E$27)</f>
        <v>9777.1</v>
      </c>
      <c r="R71" s="11">
        <f>Q71*INDEX(Paramètres!$C$31:$C$38,MIN(MAX(INT(N(J71)),0),7)+1)</f>
        <v>0</v>
      </c>
      <c r="S71" s="14">
        <f t="shared" ref="S71:S99" si="10">ROUND(Q71-R71,0)</f>
        <v>9777</v>
      </c>
      <c r="T71" s="11">
        <f>ROUND(N($E71)*Paramètres!$C$13,0)</f>
        <v>6407</v>
      </c>
      <c r="U71" s="11">
        <f>ROUND(MAX(0,N($E71)-(Q71-R71)-M71)*Paramètres!$C$12,0)</f>
        <v>1920</v>
      </c>
      <c r="V71" s="14">
        <f t="shared" ref="V71:V99" si="11">ROUND(N($E71)-M71-S71-U71,0)</f>
        <v>190123</v>
      </c>
    </row>
    <row r="72" spans="2:22" ht="17.25" customHeight="1" x14ac:dyDescent="0.35">
      <c r="B72" s="7">
        <v>66</v>
      </c>
      <c r="C72" s="8" t="s">
        <v>91</v>
      </c>
      <c r="D72" s="9">
        <v>45806</v>
      </c>
      <c r="E72" s="40">
        <v>135983</v>
      </c>
      <c r="F72" s="11">
        <f>MIN(ROUNDDOWN(N($E72)*Paramètres!$C$16,0),Paramètres!$D$16)</f>
        <v>27196</v>
      </c>
      <c r="G72" s="11">
        <f>MIN(ROUNDDOWN(N($E72)*Paramètres!$C$17,0),Paramètres!$D$17)</f>
        <v>6799</v>
      </c>
      <c r="H72" s="11">
        <f>MIN(ROUNDDOWN(N($E72)*Paramètres!$C$18,0),Paramètres!$D$18)</f>
        <v>6799</v>
      </c>
      <c r="I72" s="11">
        <f t="shared" si="8"/>
        <v>95189</v>
      </c>
      <c r="J72" s="12">
        <v>0</v>
      </c>
      <c r="K72" s="13" t="str">
        <f>IF(I72&lt;Paramètres!$C$11,"Cadre inférieur","Cadre supérieur")</f>
        <v>Cadre inférieur</v>
      </c>
      <c r="L72" s="11">
        <f>MIN(F72,MIN(N($E72)*Paramètres!$C$16,Paramètres!$D$16))+MIN(G72,MIN(N($E72)*Paramètres!$C$17,Paramètres!$D$17))+MIN(H72,MIN(N($E72)*Paramètres!$C$18,Paramètres!$D$18))</f>
        <v>40794</v>
      </c>
      <c r="M72" s="11">
        <f>MIN(N($E72),Paramètres!$C$7)*Paramètres!$C$6</f>
        <v>7479.0649999999996</v>
      </c>
      <c r="N72" s="11">
        <f>MIN(M72,I72*Paramètres!$C$8)</f>
        <v>7479.0649999999996</v>
      </c>
      <c r="O72" s="11">
        <f>I72*IF(K72="Cadre supérieur",Paramètres!$C$10,Paramètres!$C$9)</f>
        <v>23797.25</v>
      </c>
      <c r="P72" s="11">
        <f t="shared" si="9"/>
        <v>63900</v>
      </c>
      <c r="Q72" s="11">
        <f>SUMPRODUCT((P72&gt;Paramètres!$B$21:$B$27)*(P72-Paramètres!$B$21:$B$27)*Paramètres!$E$21:$E$27)</f>
        <v>4352.0999999999995</v>
      </c>
      <c r="R72" s="11">
        <f>Q72*INDEX(Paramètres!$C$31:$C$38,MIN(MAX(INT(N(J72)),0),7)+1)</f>
        <v>0</v>
      </c>
      <c r="S72" s="14">
        <f t="shared" si="10"/>
        <v>4352</v>
      </c>
      <c r="T72" s="11">
        <f>ROUND(N($E72)*Paramètres!$C$13,0)</f>
        <v>4079</v>
      </c>
      <c r="U72" s="11">
        <f>ROUND(MAX(0,N($E72)-(Q72-R72)-M72)*Paramètres!$C$12,0)</f>
        <v>1242</v>
      </c>
      <c r="V72" s="14">
        <f t="shared" si="11"/>
        <v>122910</v>
      </c>
    </row>
    <row r="73" spans="2:22" ht="17.25" customHeight="1" x14ac:dyDescent="0.35">
      <c r="B73" s="7">
        <v>67</v>
      </c>
      <c r="C73" s="8" t="s">
        <v>92</v>
      </c>
      <c r="D73" s="9">
        <v>46174</v>
      </c>
      <c r="E73" s="40">
        <v>213563</v>
      </c>
      <c r="F73" s="11">
        <f>MIN(ROUNDDOWN(N($E73)*Paramètres!$C$16,0),Paramètres!$D$16)</f>
        <v>42712</v>
      </c>
      <c r="G73" s="11">
        <f>MIN(ROUNDDOWN(N($E73)*Paramètres!$C$17,0),Paramètres!$D$17)</f>
        <v>10678</v>
      </c>
      <c r="H73" s="11">
        <f>MIN(ROUNDDOWN(N($E73)*Paramètres!$C$18,0),Paramètres!$D$18)</f>
        <v>10678</v>
      </c>
      <c r="I73" s="11">
        <f t="shared" si="8"/>
        <v>149495</v>
      </c>
      <c r="J73" s="12">
        <v>0</v>
      </c>
      <c r="K73" s="13" t="str">
        <f>IF(I73&lt;Paramètres!$C$11,"Cadre inférieur","Cadre supérieur")</f>
        <v>Cadre inférieur</v>
      </c>
      <c r="L73" s="11">
        <f>MIN(F73,MIN(N($E73)*Paramètres!$C$16,Paramètres!$D$16))+MIN(G73,MIN(N($E73)*Paramètres!$C$17,Paramètres!$D$17))+MIN(H73,MIN(N($E73)*Paramètres!$C$18,Paramètres!$D$18))</f>
        <v>64068</v>
      </c>
      <c r="M73" s="11">
        <f>MIN(N($E73),Paramètres!$C$7)*Paramètres!$C$6</f>
        <v>11745.965</v>
      </c>
      <c r="N73" s="11">
        <f>MIN(M73,I73*Paramètres!$C$8)</f>
        <v>11745.965</v>
      </c>
      <c r="O73" s="11">
        <f>I73*IF(K73="Cadre supérieur",Paramètres!$C$10,Paramètres!$C$9)</f>
        <v>37373.75</v>
      </c>
      <c r="P73" s="11">
        <f t="shared" si="9"/>
        <v>100300</v>
      </c>
      <c r="Q73" s="11">
        <f>SUMPRODUCT((P73&gt;Paramètres!$B$21:$B$27)*(P73-Paramètres!$B$21:$B$27)*Paramètres!$E$21:$E$27)</f>
        <v>9777.1</v>
      </c>
      <c r="R73" s="11">
        <f>Q73*INDEX(Paramètres!$C$31:$C$38,MIN(MAX(INT(N(J73)),0),7)+1)</f>
        <v>0</v>
      </c>
      <c r="S73" s="14">
        <f t="shared" si="10"/>
        <v>9777</v>
      </c>
      <c r="T73" s="11">
        <f>ROUND(N($E73)*Paramètres!$C$13,0)</f>
        <v>6407</v>
      </c>
      <c r="U73" s="11">
        <f>ROUND(MAX(0,N($E73)-(Q73-R73)-M73)*Paramètres!$C$12,0)</f>
        <v>1920</v>
      </c>
      <c r="V73" s="14">
        <f t="shared" si="11"/>
        <v>190120</v>
      </c>
    </row>
    <row r="74" spans="2:22" ht="17.25" customHeight="1" x14ac:dyDescent="0.35">
      <c r="B74" s="7">
        <v>68</v>
      </c>
      <c r="C74" s="8" t="s">
        <v>93</v>
      </c>
      <c r="D74" s="9">
        <v>45930</v>
      </c>
      <c r="E74" s="40">
        <v>165340</v>
      </c>
      <c r="F74" s="11">
        <f>MIN(ROUNDDOWN(N($E74)*Paramètres!$C$16,0),Paramètres!$D$16)</f>
        <v>33068</v>
      </c>
      <c r="G74" s="11">
        <f>MIN(ROUNDDOWN(N($E74)*Paramètres!$C$17,0),Paramètres!$D$17)</f>
        <v>8267</v>
      </c>
      <c r="H74" s="11">
        <f>MIN(ROUNDDOWN(N($E74)*Paramètres!$C$18,0),Paramètres!$D$18)</f>
        <v>8267</v>
      </c>
      <c r="I74" s="11">
        <f t="shared" si="8"/>
        <v>115738</v>
      </c>
      <c r="J74" s="12">
        <v>0</v>
      </c>
      <c r="K74" s="13" t="str">
        <f>IF(I74&lt;Paramètres!$C$11,"Cadre inférieur","Cadre supérieur")</f>
        <v>Cadre inférieur</v>
      </c>
      <c r="L74" s="11">
        <f>MIN(F74,MIN(N($E74)*Paramètres!$C$16,Paramètres!$D$16))+MIN(G74,MIN(N($E74)*Paramètres!$C$17,Paramètres!$D$17))+MIN(H74,MIN(N($E74)*Paramètres!$C$18,Paramètres!$D$18))</f>
        <v>49602</v>
      </c>
      <c r="M74" s="11">
        <f>MIN(N($E74),Paramètres!$C$7)*Paramètres!$C$6</f>
        <v>9093.7000000000007</v>
      </c>
      <c r="N74" s="11">
        <f>MIN(M74,I74*Paramètres!$C$8)</f>
        <v>9093.7000000000007</v>
      </c>
      <c r="O74" s="11">
        <f>I74*IF(K74="Cadre supérieur",Paramètres!$C$10,Paramètres!$C$9)</f>
        <v>28934.5</v>
      </c>
      <c r="P74" s="11">
        <f t="shared" si="9"/>
        <v>77700</v>
      </c>
      <c r="Q74" s="11">
        <f>SUMPRODUCT((P74&gt;Paramètres!$B$21:$B$27)*(P74-Paramètres!$B$21:$B$27)*Paramètres!$E$21:$E$27)</f>
        <v>6270.3</v>
      </c>
      <c r="R74" s="11">
        <f>Q74*INDEX(Paramètres!$C$31:$C$38,MIN(MAX(INT(N(J74)),0),7)+1)</f>
        <v>0</v>
      </c>
      <c r="S74" s="14">
        <f t="shared" si="10"/>
        <v>6270</v>
      </c>
      <c r="T74" s="11">
        <f>ROUND(N($E74)*Paramètres!$C$13,0)</f>
        <v>4960</v>
      </c>
      <c r="U74" s="11">
        <f>ROUND(MAX(0,N($E74)-(Q74-R74)-M74)*Paramètres!$C$12,0)</f>
        <v>1500</v>
      </c>
      <c r="V74" s="14">
        <f t="shared" si="11"/>
        <v>148476</v>
      </c>
    </row>
    <row r="75" spans="2:22" ht="17.25" customHeight="1" x14ac:dyDescent="0.35">
      <c r="B75" s="7">
        <v>69</v>
      </c>
      <c r="C75" s="8" t="s">
        <v>94</v>
      </c>
      <c r="D75" s="9">
        <v>45912</v>
      </c>
      <c r="E75" s="40">
        <v>213566</v>
      </c>
      <c r="F75" s="11">
        <f>MIN(ROUNDDOWN(N($E75)*Paramètres!$C$16,0),Paramètres!$D$16)</f>
        <v>42713</v>
      </c>
      <c r="G75" s="11">
        <f>MIN(ROUNDDOWN(N($E75)*Paramètres!$C$17,0),Paramètres!$D$17)</f>
        <v>10678</v>
      </c>
      <c r="H75" s="11">
        <f>MIN(ROUNDDOWN(N($E75)*Paramètres!$C$18,0),Paramètres!$D$18)</f>
        <v>10678</v>
      </c>
      <c r="I75" s="11">
        <f t="shared" si="8"/>
        <v>149497</v>
      </c>
      <c r="J75" s="12">
        <v>0</v>
      </c>
      <c r="K75" s="13" t="str">
        <f>IF(I75&lt;Paramètres!$C$11,"Cadre inférieur","Cadre supérieur")</f>
        <v>Cadre inférieur</v>
      </c>
      <c r="L75" s="11">
        <f>MIN(F75,MIN(N($E75)*Paramètres!$C$16,Paramètres!$D$16))+MIN(G75,MIN(N($E75)*Paramètres!$C$17,Paramètres!$D$17))+MIN(H75,MIN(N($E75)*Paramètres!$C$18,Paramètres!$D$18))</f>
        <v>64069</v>
      </c>
      <c r="M75" s="11">
        <f>MIN(N($E75),Paramètres!$C$7)*Paramètres!$C$6</f>
        <v>11746.13</v>
      </c>
      <c r="N75" s="11">
        <f>MIN(M75,I75*Paramètres!$C$8)</f>
        <v>11746.13</v>
      </c>
      <c r="O75" s="11">
        <f>I75*IF(K75="Cadre supérieur",Paramètres!$C$10,Paramètres!$C$9)</f>
        <v>37374.25</v>
      </c>
      <c r="P75" s="11">
        <f t="shared" si="9"/>
        <v>100300</v>
      </c>
      <c r="Q75" s="11">
        <f>SUMPRODUCT((P75&gt;Paramètres!$B$21:$B$27)*(P75-Paramètres!$B$21:$B$27)*Paramètres!$E$21:$E$27)</f>
        <v>9777.1</v>
      </c>
      <c r="R75" s="11">
        <f>Q75*INDEX(Paramètres!$C$31:$C$38,MIN(MAX(INT(N(J75)),0),7)+1)</f>
        <v>0</v>
      </c>
      <c r="S75" s="14">
        <f t="shared" si="10"/>
        <v>9777</v>
      </c>
      <c r="T75" s="11">
        <f>ROUND(N($E75)*Paramètres!$C$13,0)</f>
        <v>6407</v>
      </c>
      <c r="U75" s="11">
        <f>ROUND(MAX(0,N($E75)-(Q75-R75)-M75)*Paramètres!$C$12,0)</f>
        <v>1920</v>
      </c>
      <c r="V75" s="14">
        <f t="shared" si="11"/>
        <v>190123</v>
      </c>
    </row>
    <row r="76" spans="2:22" ht="17.25" customHeight="1" x14ac:dyDescent="0.35">
      <c r="B76" s="7">
        <v>70</v>
      </c>
      <c r="C76" s="8" t="s">
        <v>95</v>
      </c>
      <c r="D76" s="9">
        <v>46183</v>
      </c>
      <c r="E76" s="40">
        <v>177387</v>
      </c>
      <c r="F76" s="11">
        <f>MIN(ROUNDDOWN(N($E76)*Paramètres!$C$16,0),Paramètres!$D$16)</f>
        <v>35477</v>
      </c>
      <c r="G76" s="11">
        <f>MIN(ROUNDDOWN(N($E76)*Paramètres!$C$17,0),Paramètres!$D$17)</f>
        <v>8869</v>
      </c>
      <c r="H76" s="11">
        <f>MIN(ROUNDDOWN(N($E76)*Paramètres!$C$18,0),Paramètres!$D$18)</f>
        <v>8869</v>
      </c>
      <c r="I76" s="11">
        <f t="shared" si="8"/>
        <v>124172</v>
      </c>
      <c r="J76" s="12">
        <v>0</v>
      </c>
      <c r="K76" s="13" t="str">
        <f>IF(I76&lt;Paramètres!$C$11,"Cadre inférieur","Cadre supérieur")</f>
        <v>Cadre inférieur</v>
      </c>
      <c r="L76" s="11">
        <f>MIN(F76,MIN(N($E76)*Paramètres!$C$16,Paramètres!$D$16))+MIN(G76,MIN(N($E76)*Paramètres!$C$17,Paramètres!$D$17))+MIN(H76,MIN(N($E76)*Paramètres!$C$18,Paramètres!$D$18))</f>
        <v>53215</v>
      </c>
      <c r="M76" s="11">
        <f>MIN(N($E76),Paramètres!$C$7)*Paramètres!$C$6</f>
        <v>9756.2849999999999</v>
      </c>
      <c r="N76" s="11">
        <f>MIN(M76,I76*Paramètres!$C$8)</f>
        <v>9756.2849999999999</v>
      </c>
      <c r="O76" s="11">
        <f>I76*IF(K76="Cadre supérieur",Paramètres!$C$10,Paramètres!$C$9)</f>
        <v>31043</v>
      </c>
      <c r="P76" s="11">
        <f t="shared" si="9"/>
        <v>83300</v>
      </c>
      <c r="Q76" s="11">
        <f>SUMPRODUCT((P76&gt;Paramètres!$B$21:$B$27)*(P76-Paramètres!$B$21:$B$27)*Paramètres!$E$21:$E$27)</f>
        <v>7108.1</v>
      </c>
      <c r="R76" s="11">
        <f>Q76*INDEX(Paramètres!$C$31:$C$38,MIN(MAX(INT(N(J76)),0),7)+1)</f>
        <v>0</v>
      </c>
      <c r="S76" s="14">
        <f t="shared" si="10"/>
        <v>7108</v>
      </c>
      <c r="T76" s="11">
        <f>ROUND(N($E76)*Paramètres!$C$13,0)</f>
        <v>5322</v>
      </c>
      <c r="U76" s="11">
        <f>ROUND(MAX(0,N($E76)-(Q76-R76)-M76)*Paramètres!$C$12,0)</f>
        <v>1605</v>
      </c>
      <c r="V76" s="14">
        <f t="shared" si="11"/>
        <v>158918</v>
      </c>
    </row>
    <row r="77" spans="2:22" ht="17.25" customHeight="1" x14ac:dyDescent="0.35">
      <c r="B77" s="7">
        <v>71</v>
      </c>
      <c r="C77" s="8" t="s">
        <v>96</v>
      </c>
      <c r="D77" s="20">
        <v>46023</v>
      </c>
      <c r="E77" s="40">
        <v>177387</v>
      </c>
      <c r="F77" s="11">
        <f>MIN(ROUNDDOWN(N($E77)*Paramètres!$C$16,0),Paramètres!$D$16)</f>
        <v>35477</v>
      </c>
      <c r="G77" s="11">
        <f>MIN(ROUNDDOWN(N($E77)*Paramètres!$C$17,0),Paramètres!$D$17)</f>
        <v>8869</v>
      </c>
      <c r="H77" s="11">
        <f>MIN(ROUNDDOWN(N($E77)*Paramètres!$C$18,0),Paramètres!$D$18)</f>
        <v>8869</v>
      </c>
      <c r="I77" s="11">
        <f t="shared" si="8"/>
        <v>124172</v>
      </c>
      <c r="J77" s="12">
        <v>0</v>
      </c>
      <c r="K77" s="13" t="str">
        <f>IF(I77&lt;Paramètres!$C$11,"Cadre inférieur","Cadre supérieur")</f>
        <v>Cadre inférieur</v>
      </c>
      <c r="L77" s="11">
        <f>MIN(F77,MIN(N($E77)*Paramètres!$C$16,Paramètres!$D$16))+MIN(G77,MIN(N($E77)*Paramètres!$C$17,Paramètres!$D$17))+MIN(H77,MIN(N($E77)*Paramètres!$C$18,Paramètres!$D$18))</f>
        <v>53215</v>
      </c>
      <c r="M77" s="11">
        <f>MIN(N($E77),Paramètres!$C$7)*Paramètres!$C$6</f>
        <v>9756.2849999999999</v>
      </c>
      <c r="N77" s="11">
        <f>MIN(M77,I77*Paramètres!$C$8)</f>
        <v>9756.2849999999999</v>
      </c>
      <c r="O77" s="11">
        <f>I77*IF(K77="Cadre supérieur",Paramètres!$C$10,Paramètres!$C$9)</f>
        <v>31043</v>
      </c>
      <c r="P77" s="11">
        <f t="shared" si="9"/>
        <v>83300</v>
      </c>
      <c r="Q77" s="11">
        <f>SUMPRODUCT((P77&gt;Paramètres!$B$21:$B$27)*(P77-Paramètres!$B$21:$B$27)*Paramètres!$E$21:$E$27)</f>
        <v>7108.1</v>
      </c>
      <c r="R77" s="11">
        <f>Q77*INDEX(Paramètres!$C$31:$C$38,MIN(MAX(INT(N(J77)),0),7)+1)</f>
        <v>0</v>
      </c>
      <c r="S77" s="14">
        <f t="shared" si="10"/>
        <v>7108</v>
      </c>
      <c r="T77" s="11">
        <f>ROUND(N($E77)*Paramètres!$C$13,0)</f>
        <v>5322</v>
      </c>
      <c r="U77" s="11">
        <f>ROUND(MAX(0,N($E77)-(Q77-R77)-M77)*Paramètres!$C$12,0)</f>
        <v>1605</v>
      </c>
      <c r="V77" s="14">
        <f t="shared" si="11"/>
        <v>158918</v>
      </c>
    </row>
    <row r="78" spans="2:22" ht="17.25" customHeight="1" x14ac:dyDescent="0.35">
      <c r="B78" s="7">
        <v>72</v>
      </c>
      <c r="C78" s="8" t="s">
        <v>97</v>
      </c>
      <c r="D78" s="9">
        <v>46204</v>
      </c>
      <c r="E78" s="40">
        <v>135983</v>
      </c>
      <c r="F78" s="11">
        <f>MIN(ROUNDDOWN(N($E78)*Paramètres!$C$16,0),Paramètres!$D$16)</f>
        <v>27196</v>
      </c>
      <c r="G78" s="11">
        <f>MIN(ROUNDDOWN(N($E78)*Paramètres!$C$17,0),Paramètres!$D$17)</f>
        <v>6799</v>
      </c>
      <c r="H78" s="11">
        <f>MIN(ROUNDDOWN(N($E78)*Paramètres!$C$18,0),Paramètres!$D$18)</f>
        <v>6799</v>
      </c>
      <c r="I78" s="11">
        <f t="shared" si="8"/>
        <v>95189</v>
      </c>
      <c r="J78" s="12">
        <v>0</v>
      </c>
      <c r="K78" s="13" t="str">
        <f>IF(I78&lt;Paramètres!$C$11,"Cadre inférieur","Cadre supérieur")</f>
        <v>Cadre inférieur</v>
      </c>
      <c r="L78" s="11">
        <f>MIN(F78,MIN(N($E78)*Paramètres!$C$16,Paramètres!$D$16))+MIN(G78,MIN(N($E78)*Paramètres!$C$17,Paramètres!$D$17))+MIN(H78,MIN(N($E78)*Paramètres!$C$18,Paramètres!$D$18))</f>
        <v>40794</v>
      </c>
      <c r="M78" s="11">
        <f>MIN(N($E78),Paramètres!$C$7)*Paramètres!$C$6</f>
        <v>7479.0649999999996</v>
      </c>
      <c r="N78" s="11">
        <f>MIN(M78,I78*Paramètres!$C$8)</f>
        <v>7479.0649999999996</v>
      </c>
      <c r="O78" s="11">
        <f>I78*IF(K78="Cadre supérieur",Paramètres!$C$10,Paramètres!$C$9)</f>
        <v>23797.25</v>
      </c>
      <c r="P78" s="11">
        <f t="shared" si="9"/>
        <v>63900</v>
      </c>
      <c r="Q78" s="11">
        <f>SUMPRODUCT((P78&gt;Paramètres!$B$21:$B$27)*(P78-Paramètres!$B$21:$B$27)*Paramètres!$E$21:$E$27)</f>
        <v>4352.0999999999995</v>
      </c>
      <c r="R78" s="11">
        <f>Q78*INDEX(Paramètres!$C$31:$C$38,MIN(MAX(INT(N(J78)),0),7)+1)</f>
        <v>0</v>
      </c>
      <c r="S78" s="14">
        <f t="shared" si="10"/>
        <v>4352</v>
      </c>
      <c r="T78" s="11">
        <f>ROUND(N($E78)*Paramètres!$C$13,0)</f>
        <v>4079</v>
      </c>
      <c r="U78" s="11">
        <f>ROUND(MAX(0,N($E78)-(Q78-R78)-M78)*Paramètres!$C$12,0)</f>
        <v>1242</v>
      </c>
      <c r="V78" s="14">
        <f t="shared" si="11"/>
        <v>122910</v>
      </c>
    </row>
    <row r="79" spans="2:22" ht="17.25" customHeight="1" x14ac:dyDescent="0.35">
      <c r="B79" s="7">
        <v>73</v>
      </c>
      <c r="C79" s="8" t="s">
        <v>98</v>
      </c>
      <c r="D79" s="9">
        <v>45778</v>
      </c>
      <c r="E79" s="40">
        <v>471355</v>
      </c>
      <c r="F79" s="11">
        <f>MIN(ROUNDDOWN(N($E79)*Paramètres!$C$16,0),Paramètres!$D$16)</f>
        <v>75000</v>
      </c>
      <c r="G79" s="11">
        <f>MIN(ROUNDDOWN(N($E79)*Paramètres!$C$17,0),Paramètres!$D$17)</f>
        <v>23567</v>
      </c>
      <c r="H79" s="11">
        <f>MIN(ROUNDDOWN(N($E79)*Paramètres!$C$18,0),Paramètres!$D$18)</f>
        <v>23567</v>
      </c>
      <c r="I79" s="11">
        <f t="shared" si="8"/>
        <v>349221</v>
      </c>
      <c r="J79" s="12">
        <v>0</v>
      </c>
      <c r="K79" s="13" t="str">
        <f>IF(I79&lt;Paramètres!$C$11,"Cadre inférieur","Cadre supérieur")</f>
        <v>Cadre supérieur</v>
      </c>
      <c r="L79" s="11">
        <f>MIN(F79,MIN(N($E79)*Paramètres!$C$16,Paramètres!$D$16))+MIN(G79,MIN(N($E79)*Paramètres!$C$17,Paramètres!$D$17))+MIN(H79,MIN(N($E79)*Paramètres!$C$18,Paramètres!$D$18))</f>
        <v>122134</v>
      </c>
      <c r="M79" s="11">
        <f>MIN(N($E79),Paramètres!$C$7)*Paramètres!$C$6</f>
        <v>25924.525000000001</v>
      </c>
      <c r="N79" s="11">
        <f>MIN(M79,I79*Paramètres!$C$8)</f>
        <v>25924.525000000001</v>
      </c>
      <c r="O79" s="11">
        <f>I79*IF(K79="Cadre supérieur",Paramètres!$C$10,Paramètres!$C$9)</f>
        <v>69844.2</v>
      </c>
      <c r="P79" s="11">
        <f t="shared" si="9"/>
        <v>253400</v>
      </c>
      <c r="Q79" s="11">
        <f>SUMPRODUCT((P79&gt;Paramètres!$B$21:$B$27)*(P79-Paramètres!$B$21:$B$27)*Paramètres!$E$21:$E$27)</f>
        <v>40280</v>
      </c>
      <c r="R79" s="11">
        <f>Q79*INDEX(Paramètres!$C$31:$C$38,MIN(MAX(INT(N(J79)),0),7)+1)</f>
        <v>0</v>
      </c>
      <c r="S79" s="14">
        <f t="shared" si="10"/>
        <v>40280</v>
      </c>
      <c r="T79" s="11">
        <f>ROUND(N($E79)*Paramètres!$C$13,0)</f>
        <v>14141</v>
      </c>
      <c r="U79" s="11">
        <f>ROUND(MAX(0,N($E79)-(Q79-R79)-M79)*Paramètres!$C$12,0)</f>
        <v>4052</v>
      </c>
      <c r="V79" s="14">
        <f t="shared" si="11"/>
        <v>401098</v>
      </c>
    </row>
    <row r="80" spans="2:22" ht="17.25" customHeight="1" x14ac:dyDescent="0.35">
      <c r="B80" s="7">
        <v>74</v>
      </c>
      <c r="C80" s="17" t="s">
        <v>99</v>
      </c>
      <c r="D80" s="9">
        <v>46289</v>
      </c>
      <c r="E80" s="40">
        <v>177387</v>
      </c>
      <c r="F80" s="11">
        <f>MIN(ROUNDDOWN(N($E80)*Paramètres!$C$16,0),Paramètres!$D$16)</f>
        <v>35477</v>
      </c>
      <c r="G80" s="11">
        <f>MIN(ROUNDDOWN(N($E80)*Paramètres!$C$17,0),Paramètres!$D$17)</f>
        <v>8869</v>
      </c>
      <c r="H80" s="11">
        <f>MIN(ROUNDDOWN(N($E80)*Paramètres!$C$18,0),Paramètres!$D$18)</f>
        <v>8869</v>
      </c>
      <c r="I80" s="11">
        <f t="shared" si="8"/>
        <v>124172</v>
      </c>
      <c r="J80" s="12">
        <v>0</v>
      </c>
      <c r="K80" s="13" t="str">
        <f>IF(I80&lt;Paramètres!$C$11,"Cadre inférieur","Cadre supérieur")</f>
        <v>Cadre inférieur</v>
      </c>
      <c r="L80" s="11">
        <f>MIN(F80,MIN(N($E80)*Paramètres!$C$16,Paramètres!$D$16))+MIN(G80,MIN(N($E80)*Paramètres!$C$17,Paramètres!$D$17))+MIN(H80,MIN(N($E80)*Paramètres!$C$18,Paramètres!$D$18))</f>
        <v>53215</v>
      </c>
      <c r="M80" s="11">
        <f>MIN(N($E80),Paramètres!$C$7)*Paramètres!$C$6</f>
        <v>9756.2849999999999</v>
      </c>
      <c r="N80" s="11">
        <f>MIN(M80,I80*Paramètres!$C$8)</f>
        <v>9756.2849999999999</v>
      </c>
      <c r="O80" s="11">
        <f>I80*IF(K80="Cadre supérieur",Paramètres!$C$10,Paramètres!$C$9)</f>
        <v>31043</v>
      </c>
      <c r="P80" s="11">
        <f t="shared" si="9"/>
        <v>83300</v>
      </c>
      <c r="Q80" s="11">
        <f>SUMPRODUCT((P80&gt;Paramètres!$B$21:$B$27)*(P80-Paramètres!$B$21:$B$27)*Paramètres!$E$21:$E$27)</f>
        <v>7108.1</v>
      </c>
      <c r="R80" s="11">
        <f>Q80*INDEX(Paramètres!$C$31:$C$38,MIN(MAX(INT(N(J80)),0),7)+1)</f>
        <v>0</v>
      </c>
      <c r="S80" s="14">
        <f t="shared" si="10"/>
        <v>7108</v>
      </c>
      <c r="T80" s="11">
        <f>ROUND(N($E80)*Paramètres!$C$13,0)</f>
        <v>5322</v>
      </c>
      <c r="U80" s="11">
        <f>ROUND(MAX(0,N($E80)-(Q80-R80)-M80)*Paramètres!$C$12,0)</f>
        <v>1605</v>
      </c>
      <c r="V80" s="14">
        <f t="shared" si="11"/>
        <v>158918</v>
      </c>
    </row>
    <row r="81" spans="2:22" ht="17.25" customHeight="1" x14ac:dyDescent="0.35">
      <c r="B81" s="7">
        <v>75</v>
      </c>
      <c r="C81" s="8" t="s">
        <v>100</v>
      </c>
      <c r="D81" s="9">
        <v>46023</v>
      </c>
      <c r="E81" s="40">
        <v>213566</v>
      </c>
      <c r="F81" s="11">
        <f>MIN(ROUNDDOWN(N($E81)*Paramètres!$C$16,0),Paramètres!$D$16)</f>
        <v>42713</v>
      </c>
      <c r="G81" s="11">
        <f>MIN(ROUNDDOWN(N($E81)*Paramètres!$C$17,0),Paramètres!$D$17)</f>
        <v>10678</v>
      </c>
      <c r="H81" s="11">
        <f>MIN(ROUNDDOWN(N($E81)*Paramètres!$C$18,0),Paramètres!$D$18)</f>
        <v>10678</v>
      </c>
      <c r="I81" s="11">
        <f t="shared" si="8"/>
        <v>149497</v>
      </c>
      <c r="J81" s="12">
        <v>0</v>
      </c>
      <c r="K81" s="13" t="str">
        <f>IF(I81&lt;Paramètres!$C$11,"Cadre inférieur","Cadre supérieur")</f>
        <v>Cadre inférieur</v>
      </c>
      <c r="L81" s="11">
        <f>MIN(F81,MIN(N($E81)*Paramètres!$C$16,Paramètres!$D$16))+MIN(G81,MIN(N($E81)*Paramètres!$C$17,Paramètres!$D$17))+MIN(H81,MIN(N($E81)*Paramètres!$C$18,Paramètres!$D$18))</f>
        <v>64069</v>
      </c>
      <c r="M81" s="11">
        <f>MIN(N($E81),Paramètres!$C$7)*Paramètres!$C$6</f>
        <v>11746.13</v>
      </c>
      <c r="N81" s="11">
        <f>MIN(M81,I81*Paramètres!$C$8)</f>
        <v>11746.13</v>
      </c>
      <c r="O81" s="11">
        <f>I81*IF(K81="Cadre supérieur",Paramètres!$C$10,Paramètres!$C$9)</f>
        <v>37374.25</v>
      </c>
      <c r="P81" s="11">
        <f t="shared" si="9"/>
        <v>100300</v>
      </c>
      <c r="Q81" s="11">
        <f>SUMPRODUCT((P81&gt;Paramètres!$B$21:$B$27)*(P81-Paramètres!$B$21:$B$27)*Paramètres!$E$21:$E$27)</f>
        <v>9777.1</v>
      </c>
      <c r="R81" s="11">
        <f>Q81*INDEX(Paramètres!$C$31:$C$38,MIN(MAX(INT(N(J81)),0),7)+1)</f>
        <v>0</v>
      </c>
      <c r="S81" s="14">
        <f t="shared" si="10"/>
        <v>9777</v>
      </c>
      <c r="T81" s="11">
        <f>ROUND(N($E81)*Paramètres!$C$13,0)</f>
        <v>6407</v>
      </c>
      <c r="U81" s="11">
        <f>ROUND(MAX(0,N($E81)-(Q81-R81)-M81)*Paramètres!$C$12,0)</f>
        <v>1920</v>
      </c>
      <c r="V81" s="14">
        <f t="shared" si="11"/>
        <v>190123</v>
      </c>
    </row>
    <row r="82" spans="2:22" ht="17.25" customHeight="1" x14ac:dyDescent="0.35">
      <c r="B82" s="7">
        <v>76</v>
      </c>
      <c r="C82" s="8" t="s">
        <v>101</v>
      </c>
      <c r="D82" s="9">
        <v>46235</v>
      </c>
      <c r="E82" s="40">
        <v>177387</v>
      </c>
      <c r="F82" s="11">
        <f>MIN(ROUNDDOWN(N($E82)*Paramètres!$C$16,0),Paramètres!$D$16)</f>
        <v>35477</v>
      </c>
      <c r="G82" s="11">
        <f>MIN(ROUNDDOWN(N($E82)*Paramètres!$C$17,0),Paramètres!$D$17)</f>
        <v>8869</v>
      </c>
      <c r="H82" s="11">
        <f>MIN(ROUNDDOWN(N($E82)*Paramètres!$C$18,0),Paramètres!$D$18)</f>
        <v>8869</v>
      </c>
      <c r="I82" s="11">
        <f t="shared" si="8"/>
        <v>124172</v>
      </c>
      <c r="J82" s="12">
        <v>0</v>
      </c>
      <c r="K82" s="13" t="str">
        <f>IF(I82&lt;Paramètres!$C$11,"Cadre inférieur","Cadre supérieur")</f>
        <v>Cadre inférieur</v>
      </c>
      <c r="L82" s="11">
        <f>MIN(F82,MIN(N($E82)*Paramètres!$C$16,Paramètres!$D$16))+MIN(G82,MIN(N($E82)*Paramètres!$C$17,Paramètres!$D$17))+MIN(H82,MIN(N($E82)*Paramètres!$C$18,Paramètres!$D$18))</f>
        <v>53215</v>
      </c>
      <c r="M82" s="11">
        <f>MIN(N($E82),Paramètres!$C$7)*Paramètres!$C$6</f>
        <v>9756.2849999999999</v>
      </c>
      <c r="N82" s="11">
        <f>MIN(M82,I82*Paramètres!$C$8)</f>
        <v>9756.2849999999999</v>
      </c>
      <c r="O82" s="11">
        <f>I82*IF(K82="Cadre supérieur",Paramètres!$C$10,Paramètres!$C$9)</f>
        <v>31043</v>
      </c>
      <c r="P82" s="11">
        <f t="shared" si="9"/>
        <v>83300</v>
      </c>
      <c r="Q82" s="11">
        <f>SUMPRODUCT((P82&gt;Paramètres!$B$21:$B$27)*(P82-Paramètres!$B$21:$B$27)*Paramètres!$E$21:$E$27)</f>
        <v>7108.1</v>
      </c>
      <c r="R82" s="11">
        <f>Q82*INDEX(Paramètres!$C$31:$C$38,MIN(MAX(INT(N(J82)),0),7)+1)</f>
        <v>0</v>
      </c>
      <c r="S82" s="14">
        <f t="shared" si="10"/>
        <v>7108</v>
      </c>
      <c r="T82" s="11">
        <f>ROUND(N($E82)*Paramètres!$C$13,0)</f>
        <v>5322</v>
      </c>
      <c r="U82" s="11">
        <f>ROUND(MAX(0,N($E82)-(Q82-R82)-M82)*Paramètres!$C$12,0)</f>
        <v>1605</v>
      </c>
      <c r="V82" s="14">
        <f t="shared" si="11"/>
        <v>158918</v>
      </c>
    </row>
    <row r="83" spans="2:22" ht="17.25" customHeight="1" x14ac:dyDescent="0.35">
      <c r="B83" s="7">
        <v>77</v>
      </c>
      <c r="C83" s="8" t="s">
        <v>102</v>
      </c>
      <c r="D83" s="9">
        <v>46183</v>
      </c>
      <c r="E83" s="40">
        <v>177387</v>
      </c>
      <c r="F83" s="11">
        <f>MIN(ROUNDDOWN(N($E83)*Paramètres!$C$16,0),Paramètres!$D$16)</f>
        <v>35477</v>
      </c>
      <c r="G83" s="11">
        <f>MIN(ROUNDDOWN(N($E83)*Paramètres!$C$17,0),Paramètres!$D$17)</f>
        <v>8869</v>
      </c>
      <c r="H83" s="11">
        <f>MIN(ROUNDDOWN(N($E83)*Paramètres!$C$18,0),Paramètres!$D$18)</f>
        <v>8869</v>
      </c>
      <c r="I83" s="11">
        <f t="shared" si="8"/>
        <v>124172</v>
      </c>
      <c r="J83" s="12">
        <v>0</v>
      </c>
      <c r="K83" s="13" t="str">
        <f>IF(I83&lt;Paramètres!$C$11,"Cadre inférieur","Cadre supérieur")</f>
        <v>Cadre inférieur</v>
      </c>
      <c r="L83" s="11">
        <f>MIN(F83,MIN(N($E83)*Paramètres!$C$16,Paramètres!$D$16))+MIN(G83,MIN(N($E83)*Paramètres!$C$17,Paramètres!$D$17))+MIN(H83,MIN(N($E83)*Paramètres!$C$18,Paramètres!$D$18))</f>
        <v>53215</v>
      </c>
      <c r="M83" s="11">
        <f>MIN(N($E83),Paramètres!$C$7)*Paramètres!$C$6</f>
        <v>9756.2849999999999</v>
      </c>
      <c r="N83" s="11">
        <f>MIN(M83,I83*Paramètres!$C$8)</f>
        <v>9756.2849999999999</v>
      </c>
      <c r="O83" s="11">
        <f>I83*IF(K83="Cadre supérieur",Paramètres!$C$10,Paramètres!$C$9)</f>
        <v>31043</v>
      </c>
      <c r="P83" s="11">
        <f t="shared" si="9"/>
        <v>83300</v>
      </c>
      <c r="Q83" s="11">
        <f>SUMPRODUCT((P83&gt;Paramètres!$B$21:$B$27)*(P83-Paramètres!$B$21:$B$27)*Paramètres!$E$21:$E$27)</f>
        <v>7108.1</v>
      </c>
      <c r="R83" s="11">
        <f>Q83*INDEX(Paramètres!$C$31:$C$38,MIN(MAX(INT(N(J83)),0),7)+1)</f>
        <v>0</v>
      </c>
      <c r="S83" s="14">
        <f t="shared" si="10"/>
        <v>7108</v>
      </c>
      <c r="T83" s="11">
        <f>ROUND(N($E83)*Paramètres!$C$13,0)</f>
        <v>5322</v>
      </c>
      <c r="U83" s="11">
        <f>ROUND(MAX(0,N($E83)-(Q83-R83)-M83)*Paramètres!$C$12,0)</f>
        <v>1605</v>
      </c>
      <c r="V83" s="14">
        <f t="shared" si="11"/>
        <v>158918</v>
      </c>
    </row>
    <row r="84" spans="2:22" ht="17.25" customHeight="1" x14ac:dyDescent="0.35">
      <c r="B84" s="7">
        <v>78</v>
      </c>
      <c r="C84" s="17" t="s">
        <v>103</v>
      </c>
      <c r="D84" s="9">
        <v>46244</v>
      </c>
      <c r="E84" s="40">
        <v>250000</v>
      </c>
      <c r="F84" s="11">
        <f>MIN(ROUNDDOWN(N($E84)*Paramètres!$C$16,0),Paramètres!$D$16)</f>
        <v>50000</v>
      </c>
      <c r="G84" s="11">
        <f>MIN(ROUNDDOWN(N($E84)*Paramètres!$C$17,0),Paramètres!$D$17)</f>
        <v>12500</v>
      </c>
      <c r="H84" s="11">
        <f>MIN(ROUNDDOWN(N($E84)*Paramètres!$C$18,0),Paramètres!$D$18)</f>
        <v>12500</v>
      </c>
      <c r="I84" s="11">
        <f t="shared" si="8"/>
        <v>175000</v>
      </c>
      <c r="J84" s="12">
        <v>0</v>
      </c>
      <c r="K84" s="13" t="str">
        <f>IF(I84&lt;Paramètres!$C$11,"Cadre inférieur","Cadre supérieur")</f>
        <v>Cadre supérieur</v>
      </c>
      <c r="L84" s="11">
        <f>MIN(F84,MIN(N($E84)*Paramètres!$C$16,Paramètres!$D$16))+MIN(G84,MIN(N($E84)*Paramètres!$C$17,Paramètres!$D$17))+MIN(H84,MIN(N($E84)*Paramètres!$C$18,Paramètres!$D$18))</f>
        <v>75000</v>
      </c>
      <c r="M84" s="11">
        <f>MIN(N($E84),Paramètres!$C$7)*Paramètres!$C$6</f>
        <v>13750</v>
      </c>
      <c r="N84" s="11">
        <f>MIN(M84,I84*Paramètres!$C$8)</f>
        <v>13750</v>
      </c>
      <c r="O84" s="11">
        <f>I84*IF(K84="Cadre supérieur",Paramètres!$C$10,Paramètres!$C$9)</f>
        <v>35000</v>
      </c>
      <c r="P84" s="11">
        <f t="shared" si="9"/>
        <v>126200</v>
      </c>
      <c r="Q84" s="11">
        <f>SUMPRODUCT((P84&gt;Paramètres!$B$21:$B$27)*(P84-Paramètres!$B$21:$B$27)*Paramètres!$E$21:$E$27)</f>
        <v>14010.799999999997</v>
      </c>
      <c r="R84" s="11">
        <f>Q84*INDEX(Paramètres!$C$31:$C$38,MIN(MAX(INT(N(J84)),0),7)+1)</f>
        <v>0</v>
      </c>
      <c r="S84" s="14">
        <f t="shared" si="10"/>
        <v>14011</v>
      </c>
      <c r="T84" s="11">
        <f>ROUND(N($E84)*Paramètres!$C$13,0)</f>
        <v>7500</v>
      </c>
      <c r="U84" s="11">
        <f>ROUND(MAX(0,N($E84)-(Q84-R84)-M84)*Paramètres!$C$12,0)</f>
        <v>2222</v>
      </c>
      <c r="V84" s="14">
        <f t="shared" si="11"/>
        <v>220017</v>
      </c>
    </row>
    <row r="85" spans="2:22" ht="17.25" customHeight="1" x14ac:dyDescent="0.35">
      <c r="B85" s="7">
        <v>79</v>
      </c>
      <c r="C85" s="8" t="s">
        <v>104</v>
      </c>
      <c r="D85" s="9">
        <v>46235</v>
      </c>
      <c r="E85" s="40">
        <v>177387</v>
      </c>
      <c r="F85" s="11">
        <f>MIN(ROUNDDOWN(N($E85)*Paramètres!$C$16,0),Paramètres!$D$16)</f>
        <v>35477</v>
      </c>
      <c r="G85" s="11">
        <f>MIN(ROUNDDOWN(N($E85)*Paramètres!$C$17,0),Paramètres!$D$17)</f>
        <v>8869</v>
      </c>
      <c r="H85" s="11">
        <f>MIN(ROUNDDOWN(N($E85)*Paramètres!$C$18,0),Paramètres!$D$18)</f>
        <v>8869</v>
      </c>
      <c r="I85" s="11">
        <f t="shared" si="8"/>
        <v>124172</v>
      </c>
      <c r="J85" s="12">
        <v>0</v>
      </c>
      <c r="K85" s="13" t="str">
        <f>IF(I85&lt;Paramètres!$C$11,"Cadre inférieur","Cadre supérieur")</f>
        <v>Cadre inférieur</v>
      </c>
      <c r="L85" s="11">
        <f>MIN(F85,MIN(N($E85)*Paramètres!$C$16,Paramètres!$D$16))+MIN(G85,MIN(N($E85)*Paramètres!$C$17,Paramètres!$D$17))+MIN(H85,MIN(N($E85)*Paramètres!$C$18,Paramètres!$D$18))</f>
        <v>53215</v>
      </c>
      <c r="M85" s="11">
        <f>MIN(N($E85),Paramètres!$C$7)*Paramètres!$C$6</f>
        <v>9756.2849999999999</v>
      </c>
      <c r="N85" s="11">
        <f>MIN(M85,I85*Paramètres!$C$8)</f>
        <v>9756.2849999999999</v>
      </c>
      <c r="O85" s="11">
        <f>I85*IF(K85="Cadre supérieur",Paramètres!$C$10,Paramètres!$C$9)</f>
        <v>31043</v>
      </c>
      <c r="P85" s="11">
        <f t="shared" si="9"/>
        <v>83300</v>
      </c>
      <c r="Q85" s="11">
        <f>SUMPRODUCT((P85&gt;Paramètres!$B$21:$B$27)*(P85-Paramètres!$B$21:$B$27)*Paramètres!$E$21:$E$27)</f>
        <v>7108.1</v>
      </c>
      <c r="R85" s="11">
        <f>Q85*INDEX(Paramètres!$C$31:$C$38,MIN(MAX(INT(N(J85)),0),7)+1)</f>
        <v>0</v>
      </c>
      <c r="S85" s="14">
        <f t="shared" si="10"/>
        <v>7108</v>
      </c>
      <c r="T85" s="11">
        <f>ROUND(N($E85)*Paramètres!$C$13,0)</f>
        <v>5322</v>
      </c>
      <c r="U85" s="11">
        <f>ROUND(MAX(0,N($E85)-(Q85-R85)-M85)*Paramètres!$C$12,0)</f>
        <v>1605</v>
      </c>
      <c r="V85" s="14">
        <f t="shared" si="11"/>
        <v>158918</v>
      </c>
    </row>
    <row r="86" spans="2:22" ht="17.25" customHeight="1" x14ac:dyDescent="0.35">
      <c r="B86" s="7">
        <v>80</v>
      </c>
      <c r="C86" s="8" t="s">
        <v>105</v>
      </c>
      <c r="D86" s="9">
        <v>46174</v>
      </c>
      <c r="E86" s="40">
        <v>177387</v>
      </c>
      <c r="F86" s="11">
        <f>MIN(ROUNDDOWN(N($E86)*Paramètres!$C$16,0),Paramètres!$D$16)</f>
        <v>35477</v>
      </c>
      <c r="G86" s="11">
        <f>MIN(ROUNDDOWN(N($E86)*Paramètres!$C$17,0),Paramètres!$D$17)</f>
        <v>8869</v>
      </c>
      <c r="H86" s="11">
        <f>MIN(ROUNDDOWN(N($E86)*Paramètres!$C$18,0),Paramètres!$D$18)</f>
        <v>8869</v>
      </c>
      <c r="I86" s="11">
        <f t="shared" si="8"/>
        <v>124172</v>
      </c>
      <c r="J86" s="12">
        <v>0</v>
      </c>
      <c r="K86" s="13" t="str">
        <f>IF(I86&lt;Paramètres!$C$11,"Cadre inférieur","Cadre supérieur")</f>
        <v>Cadre inférieur</v>
      </c>
      <c r="L86" s="11">
        <f>MIN(F86,MIN(N($E86)*Paramètres!$C$16,Paramètres!$D$16))+MIN(G86,MIN(N($E86)*Paramètres!$C$17,Paramètres!$D$17))+MIN(H86,MIN(N($E86)*Paramètres!$C$18,Paramètres!$D$18))</f>
        <v>53215</v>
      </c>
      <c r="M86" s="11">
        <f>MIN(N($E86),Paramètres!$C$7)*Paramètres!$C$6</f>
        <v>9756.2849999999999</v>
      </c>
      <c r="N86" s="11">
        <f>MIN(M86,I86*Paramètres!$C$8)</f>
        <v>9756.2849999999999</v>
      </c>
      <c r="O86" s="11">
        <f>I86*IF(K86="Cadre supérieur",Paramètres!$C$10,Paramètres!$C$9)</f>
        <v>31043</v>
      </c>
      <c r="P86" s="11">
        <f t="shared" si="9"/>
        <v>83300</v>
      </c>
      <c r="Q86" s="11">
        <f>SUMPRODUCT((P86&gt;Paramètres!$B$21:$B$27)*(P86-Paramètres!$B$21:$B$27)*Paramètres!$E$21:$E$27)</f>
        <v>7108.1</v>
      </c>
      <c r="R86" s="11">
        <f>Q86*INDEX(Paramètres!$C$31:$C$38,MIN(MAX(INT(N(J86)),0),7)+1)</f>
        <v>0</v>
      </c>
      <c r="S86" s="14">
        <f t="shared" si="10"/>
        <v>7108</v>
      </c>
      <c r="T86" s="11">
        <f>ROUND(N($E86)*Paramètres!$C$13,0)</f>
        <v>5322</v>
      </c>
      <c r="U86" s="11">
        <f>ROUND(MAX(0,N($E86)-(Q86-R86)-M86)*Paramètres!$C$12,0)</f>
        <v>1605</v>
      </c>
      <c r="V86" s="14">
        <f t="shared" si="11"/>
        <v>158918</v>
      </c>
    </row>
    <row r="87" spans="2:22" ht="17.25" customHeight="1" x14ac:dyDescent="0.35">
      <c r="B87" s="7">
        <v>81</v>
      </c>
      <c r="C87" s="8" t="s">
        <v>106</v>
      </c>
      <c r="D87" s="9">
        <v>46249</v>
      </c>
      <c r="E87" s="40">
        <v>225778</v>
      </c>
      <c r="F87" s="11">
        <f>MIN(ROUNDDOWN(N($E87)*Paramètres!$C$16,0),Paramètres!$D$16)</f>
        <v>45155</v>
      </c>
      <c r="G87" s="11">
        <f>MIN(ROUNDDOWN(N($E87)*Paramètres!$C$17,0),Paramètres!$D$17)</f>
        <v>11288</v>
      </c>
      <c r="H87" s="11">
        <f>MIN(ROUNDDOWN(N($E87)*Paramètres!$C$18,0),Paramètres!$D$18)</f>
        <v>11288</v>
      </c>
      <c r="I87" s="11">
        <f t="shared" si="8"/>
        <v>158047</v>
      </c>
      <c r="J87" s="12">
        <v>0</v>
      </c>
      <c r="K87" s="13" t="str">
        <f>IF(I87&lt;Paramètres!$C$11,"Cadre inférieur","Cadre supérieur")</f>
        <v>Cadre supérieur</v>
      </c>
      <c r="L87" s="11">
        <f>MIN(F87,MIN(N($E87)*Paramètres!$C$16,Paramètres!$D$16))+MIN(G87,MIN(N($E87)*Paramètres!$C$17,Paramètres!$D$17))+MIN(H87,MIN(N($E87)*Paramètres!$C$18,Paramètres!$D$18))</f>
        <v>67731</v>
      </c>
      <c r="M87" s="11">
        <f>MIN(N($E87),Paramètres!$C$7)*Paramètres!$C$6</f>
        <v>12417.79</v>
      </c>
      <c r="N87" s="11">
        <f>MIN(M87,I87*Paramètres!$C$8)</f>
        <v>12417.79</v>
      </c>
      <c r="O87" s="11">
        <f>I87*IF(K87="Cadre supérieur",Paramètres!$C$10,Paramètres!$C$9)</f>
        <v>31609.4</v>
      </c>
      <c r="P87" s="11">
        <f t="shared" si="9"/>
        <v>114000</v>
      </c>
      <c r="Q87" s="11">
        <f>SUMPRODUCT((P87&gt;Paramètres!$B$21:$B$27)*(P87-Paramètres!$B$21:$B$27)*Paramètres!$E$21:$E$27)</f>
        <v>11928</v>
      </c>
      <c r="R87" s="11">
        <f>Q87*INDEX(Paramètres!$C$31:$C$38,MIN(MAX(INT(N(J87)),0),7)+1)</f>
        <v>0</v>
      </c>
      <c r="S87" s="14">
        <f t="shared" si="10"/>
        <v>11928</v>
      </c>
      <c r="T87" s="11">
        <f>ROUND(N($E87)*Paramètres!$C$13,0)</f>
        <v>6773</v>
      </c>
      <c r="U87" s="11">
        <f>ROUND(MAX(0,N($E87)-(Q87-R87)-M87)*Paramètres!$C$12,0)</f>
        <v>2014</v>
      </c>
      <c r="V87" s="14">
        <f t="shared" si="11"/>
        <v>199418</v>
      </c>
    </row>
    <row r="88" spans="2:22" ht="17.25" customHeight="1" x14ac:dyDescent="0.35">
      <c r="B88" s="7">
        <v>82</v>
      </c>
      <c r="C88" s="17" t="s">
        <v>107</v>
      </c>
      <c r="D88" s="9">
        <v>46296</v>
      </c>
      <c r="E88" s="40">
        <v>0</v>
      </c>
      <c r="F88" s="11">
        <f>MIN(ROUNDDOWN(N($E88)*Paramètres!$C$16,0),Paramètres!$D$16)</f>
        <v>0</v>
      </c>
      <c r="G88" s="11">
        <f>MIN(ROUNDDOWN(N($E88)*Paramètres!$C$17,0),Paramètres!$D$17)</f>
        <v>0</v>
      </c>
      <c r="H88" s="11">
        <f>MIN(ROUNDDOWN(N($E88)*Paramètres!$C$18,0),Paramètres!$D$18)</f>
        <v>0</v>
      </c>
      <c r="I88" s="11">
        <f t="shared" si="8"/>
        <v>0</v>
      </c>
      <c r="J88" s="12">
        <v>0</v>
      </c>
      <c r="K88" s="13" t="str">
        <f>IF(I88&lt;Paramètres!$C$11,"Cadre inférieur","Cadre supérieur")</f>
        <v>Cadre inférieur</v>
      </c>
      <c r="L88" s="11">
        <f>MIN(F88,MIN(N($E88)*Paramètres!$C$16,Paramètres!$D$16))+MIN(G88,MIN(N($E88)*Paramètres!$C$17,Paramètres!$D$17))+MIN(H88,MIN(N($E88)*Paramètres!$C$18,Paramètres!$D$18))</f>
        <v>0</v>
      </c>
      <c r="M88" s="11">
        <f>MIN(N($E88),Paramètres!$C$7)*Paramètres!$C$6</f>
        <v>0</v>
      </c>
      <c r="N88" s="11">
        <f>MIN(M88,I88*Paramètres!$C$8)</f>
        <v>0</v>
      </c>
      <c r="O88" s="11">
        <f>I88*IF(K88="Cadre supérieur",Paramètres!$C$10,Paramètres!$C$9)</f>
        <v>0</v>
      </c>
      <c r="P88" s="11">
        <f t="shared" si="9"/>
        <v>0</v>
      </c>
      <c r="Q88" s="11">
        <f>SUMPRODUCT((P88&gt;Paramètres!$B$21:$B$27)*(P88-Paramètres!$B$21:$B$27)*Paramètres!$E$21:$E$27)</f>
        <v>0</v>
      </c>
      <c r="R88" s="11">
        <f>Q88*INDEX(Paramètres!$C$31:$C$38,MIN(MAX(INT(N(J88)),0),7)+1)</f>
        <v>0</v>
      </c>
      <c r="S88" s="14">
        <f t="shared" si="10"/>
        <v>0</v>
      </c>
      <c r="T88" s="11">
        <f>ROUND(N($E88)*Paramètres!$C$13,0)</f>
        <v>0</v>
      </c>
      <c r="U88" s="11">
        <f>ROUND(MAX(0,N($E88)-(Q88-R88)-M88)*Paramètres!$C$12,0)</f>
        <v>0</v>
      </c>
      <c r="V88" s="14">
        <f t="shared" si="11"/>
        <v>0</v>
      </c>
    </row>
    <row r="89" spans="2:22" ht="17.25" customHeight="1" x14ac:dyDescent="0.35">
      <c r="B89" s="7">
        <v>83</v>
      </c>
      <c r="C89" s="8" t="s">
        <v>108</v>
      </c>
      <c r="D89" s="9">
        <v>45901</v>
      </c>
      <c r="E89" s="40">
        <v>213566</v>
      </c>
      <c r="F89" s="11">
        <f>MIN(ROUNDDOWN(N($E89)*Paramètres!$C$16,0),Paramètres!$D$16)</f>
        <v>42713</v>
      </c>
      <c r="G89" s="11">
        <f>MIN(ROUNDDOWN(N($E89)*Paramètres!$C$17,0),Paramètres!$D$17)</f>
        <v>10678</v>
      </c>
      <c r="H89" s="11">
        <f>MIN(ROUNDDOWN(N($E89)*Paramètres!$C$18,0),Paramètres!$D$18)</f>
        <v>10678</v>
      </c>
      <c r="I89" s="11">
        <f t="shared" si="8"/>
        <v>149497</v>
      </c>
      <c r="J89" s="12">
        <v>0</v>
      </c>
      <c r="K89" s="13" t="str">
        <f>IF(I89&lt;Paramètres!$C$11,"Cadre inférieur","Cadre supérieur")</f>
        <v>Cadre inférieur</v>
      </c>
      <c r="L89" s="11">
        <f>MIN(F89,MIN(N($E89)*Paramètres!$C$16,Paramètres!$D$16))+MIN(G89,MIN(N($E89)*Paramètres!$C$17,Paramètres!$D$17))+MIN(H89,MIN(N($E89)*Paramètres!$C$18,Paramètres!$D$18))</f>
        <v>64069</v>
      </c>
      <c r="M89" s="11">
        <f>MIN(N($E89),Paramètres!$C$7)*Paramètres!$C$6</f>
        <v>11746.13</v>
      </c>
      <c r="N89" s="11">
        <f>MIN(M89,I89*Paramètres!$C$8)</f>
        <v>11746.13</v>
      </c>
      <c r="O89" s="11">
        <f>I89*IF(K89="Cadre supérieur",Paramètres!$C$10,Paramètres!$C$9)</f>
        <v>37374.25</v>
      </c>
      <c r="P89" s="11">
        <f t="shared" si="9"/>
        <v>100300</v>
      </c>
      <c r="Q89" s="11">
        <f>SUMPRODUCT((P89&gt;Paramètres!$B$21:$B$27)*(P89-Paramètres!$B$21:$B$27)*Paramètres!$E$21:$E$27)</f>
        <v>9777.1</v>
      </c>
      <c r="R89" s="11">
        <f>Q89*INDEX(Paramètres!$C$31:$C$38,MIN(MAX(INT(N(J89)),0),7)+1)</f>
        <v>0</v>
      </c>
      <c r="S89" s="14">
        <f t="shared" si="10"/>
        <v>9777</v>
      </c>
      <c r="T89" s="11">
        <f>ROUND(N($E89)*Paramètres!$C$13,0)</f>
        <v>6407</v>
      </c>
      <c r="U89" s="11">
        <f>ROUND(MAX(0,N($E89)-(Q89-R89)-M89)*Paramètres!$C$12,0)</f>
        <v>1920</v>
      </c>
      <c r="V89" s="14">
        <f t="shared" si="11"/>
        <v>190123</v>
      </c>
    </row>
    <row r="90" spans="2:22" ht="17.25" customHeight="1" x14ac:dyDescent="0.35">
      <c r="B90" s="7">
        <v>84</v>
      </c>
      <c r="C90" s="8" t="s">
        <v>109</v>
      </c>
      <c r="D90" s="9"/>
      <c r="E90" s="40">
        <v>0</v>
      </c>
      <c r="F90" s="11">
        <f>MIN(ROUNDDOWN(N($E90)*Paramètres!$C$16,0),Paramètres!$D$16)</f>
        <v>0</v>
      </c>
      <c r="G90" s="11">
        <f>MIN(ROUNDDOWN(N($E90)*Paramètres!$C$17,0),Paramètres!$D$17)</f>
        <v>0</v>
      </c>
      <c r="H90" s="11">
        <f>MIN(ROUNDDOWN(N($E90)*Paramètres!$C$18,0),Paramètres!$D$18)</f>
        <v>0</v>
      </c>
      <c r="I90" s="11">
        <f t="shared" si="8"/>
        <v>0</v>
      </c>
      <c r="J90" s="12">
        <v>0</v>
      </c>
      <c r="K90" s="13" t="str">
        <f>IF(I90&lt;Paramètres!$C$11,"Cadre inférieur","Cadre supérieur")</f>
        <v>Cadre inférieur</v>
      </c>
      <c r="L90" s="11">
        <f>MIN(F90,MIN(N($E90)*Paramètres!$C$16,Paramètres!$D$16))+MIN(G90,MIN(N($E90)*Paramètres!$C$17,Paramètres!$D$17))+MIN(H90,MIN(N($E90)*Paramètres!$C$18,Paramètres!$D$18))</f>
        <v>0</v>
      </c>
      <c r="M90" s="11">
        <f>MIN(N($E90),Paramètres!$C$7)*Paramètres!$C$6</f>
        <v>0</v>
      </c>
      <c r="N90" s="11">
        <f>MIN(M90,I90*Paramètres!$C$8)</f>
        <v>0</v>
      </c>
      <c r="O90" s="11">
        <f>I90*IF(K90="Cadre supérieur",Paramètres!$C$10,Paramètres!$C$9)</f>
        <v>0</v>
      </c>
      <c r="P90" s="11">
        <f t="shared" si="9"/>
        <v>0</v>
      </c>
      <c r="Q90" s="11">
        <f>SUMPRODUCT((P90&gt;Paramètres!$B$21:$B$27)*(P90-Paramètres!$B$21:$B$27)*Paramètres!$E$21:$E$27)</f>
        <v>0</v>
      </c>
      <c r="R90" s="11">
        <f>Q90*INDEX(Paramètres!$C$31:$C$38,MIN(MAX(INT(N(J90)),0),7)+1)</f>
        <v>0</v>
      </c>
      <c r="S90" s="14">
        <f t="shared" si="10"/>
        <v>0</v>
      </c>
      <c r="T90" s="11">
        <f>ROUND(N($E90)*Paramètres!$C$13,0)</f>
        <v>0</v>
      </c>
      <c r="U90" s="11">
        <f>ROUND(MAX(0,N($E90)-(Q90-R90)-M90)*Paramètres!$C$12,0)</f>
        <v>0</v>
      </c>
      <c r="V90" s="14">
        <f t="shared" si="11"/>
        <v>0</v>
      </c>
    </row>
    <row r="91" spans="2:22" ht="17.25" customHeight="1" x14ac:dyDescent="0.35">
      <c r="B91" s="7">
        <v>85</v>
      </c>
      <c r="C91" s="8" t="s">
        <v>110</v>
      </c>
      <c r="D91" s="9"/>
      <c r="E91" s="40">
        <v>0</v>
      </c>
      <c r="F91" s="11">
        <f>MIN(ROUNDDOWN(N($E91)*Paramètres!$C$16,0),Paramètres!$D$16)</f>
        <v>0</v>
      </c>
      <c r="G91" s="11">
        <f>MIN(ROUNDDOWN(N($E91)*Paramètres!$C$17,0),Paramètres!$D$17)</f>
        <v>0</v>
      </c>
      <c r="H91" s="11">
        <f>MIN(ROUNDDOWN(N($E91)*Paramètres!$C$18,0),Paramètres!$D$18)</f>
        <v>0</v>
      </c>
      <c r="I91" s="11">
        <f t="shared" si="8"/>
        <v>0</v>
      </c>
      <c r="J91" s="12">
        <v>0</v>
      </c>
      <c r="K91" s="13" t="str">
        <f>IF(I91&lt;Paramètres!$C$11,"Cadre inférieur","Cadre supérieur")</f>
        <v>Cadre inférieur</v>
      </c>
      <c r="L91" s="11">
        <f>MIN(F91,MIN(N($E91)*Paramètres!$C$16,Paramètres!$D$16))+MIN(G91,MIN(N($E91)*Paramètres!$C$17,Paramètres!$D$17))+MIN(H91,MIN(N($E91)*Paramètres!$C$18,Paramètres!$D$18))</f>
        <v>0</v>
      </c>
      <c r="M91" s="11">
        <f>MIN(N($E91),Paramètres!$C$7)*Paramètres!$C$6</f>
        <v>0</v>
      </c>
      <c r="N91" s="11">
        <f>MIN(M91,I91*Paramètres!$C$8)</f>
        <v>0</v>
      </c>
      <c r="O91" s="11">
        <f>I91*IF(K91="Cadre supérieur",Paramètres!$C$10,Paramètres!$C$9)</f>
        <v>0</v>
      </c>
      <c r="P91" s="11">
        <f t="shared" si="9"/>
        <v>0</v>
      </c>
      <c r="Q91" s="11">
        <f>SUMPRODUCT((P91&gt;Paramètres!$B$21:$B$27)*(P91-Paramètres!$B$21:$B$27)*Paramètres!$E$21:$E$27)</f>
        <v>0</v>
      </c>
      <c r="R91" s="11">
        <f>Q91*INDEX(Paramètres!$C$31:$C$38,MIN(MAX(INT(N(J91)),0),7)+1)</f>
        <v>0</v>
      </c>
      <c r="S91" s="14">
        <f t="shared" si="10"/>
        <v>0</v>
      </c>
      <c r="T91" s="11">
        <f>ROUND(N($E91)*Paramètres!$C$13,0)</f>
        <v>0</v>
      </c>
      <c r="U91" s="11">
        <f>ROUND(MAX(0,N($E91)-(Q91-R91)-M91)*Paramètres!$C$12,0)</f>
        <v>0</v>
      </c>
      <c r="V91" s="14">
        <f t="shared" si="11"/>
        <v>0</v>
      </c>
    </row>
    <row r="92" spans="2:22" ht="17.25" customHeight="1" x14ac:dyDescent="0.35">
      <c r="B92" s="7">
        <v>86</v>
      </c>
      <c r="C92" s="8" t="s">
        <v>111</v>
      </c>
      <c r="D92" s="9">
        <v>45778</v>
      </c>
      <c r="E92" s="40">
        <v>231913</v>
      </c>
      <c r="F92" s="11">
        <f>MIN(ROUNDDOWN(N($E92)*Paramètres!$C$16,0),Paramètres!$D$16)</f>
        <v>46382</v>
      </c>
      <c r="G92" s="11">
        <f>MIN(ROUNDDOWN(N($E92)*Paramètres!$C$17,0),Paramètres!$D$17)</f>
        <v>11595</v>
      </c>
      <c r="H92" s="11">
        <f>MIN(ROUNDDOWN(N($E92)*Paramètres!$C$18,0),Paramètres!$D$18)</f>
        <v>11595</v>
      </c>
      <c r="I92" s="11">
        <f t="shared" si="8"/>
        <v>162341</v>
      </c>
      <c r="J92" s="12">
        <v>0</v>
      </c>
      <c r="K92" s="13" t="str">
        <f>IF(I92&lt;Paramètres!$C$11,"Cadre inférieur","Cadre supérieur")</f>
        <v>Cadre supérieur</v>
      </c>
      <c r="L92" s="11">
        <f>MIN(F92,MIN(N($E92)*Paramètres!$C$16,Paramètres!$D$16))+MIN(G92,MIN(N($E92)*Paramètres!$C$17,Paramètres!$D$17))+MIN(H92,MIN(N($E92)*Paramètres!$C$18,Paramètres!$D$18))</f>
        <v>69572</v>
      </c>
      <c r="M92" s="11">
        <f>MIN(N($E92),Paramètres!$C$7)*Paramètres!$C$6</f>
        <v>12755.215</v>
      </c>
      <c r="N92" s="11">
        <f>MIN(M92,I92*Paramètres!$C$8)</f>
        <v>12755.215</v>
      </c>
      <c r="O92" s="11">
        <f>I92*IF(K92="Cadre supérieur",Paramètres!$C$10,Paramètres!$C$9)</f>
        <v>32468.2</v>
      </c>
      <c r="P92" s="11">
        <f t="shared" si="9"/>
        <v>117100</v>
      </c>
      <c r="Q92" s="11">
        <f>SUMPRODUCT((P92&gt;Paramètres!$B$21:$B$27)*(P92-Paramètres!$B$21:$B$27)*Paramètres!$E$21:$E$27)</f>
        <v>12414.7</v>
      </c>
      <c r="R92" s="11">
        <f>Q92*INDEX(Paramètres!$C$31:$C$38,MIN(MAX(INT(N(J92)),0),7)+1)</f>
        <v>0</v>
      </c>
      <c r="S92" s="14">
        <f t="shared" si="10"/>
        <v>12415</v>
      </c>
      <c r="T92" s="11">
        <f>ROUND(N($E92)*Paramètres!$C$13,0)</f>
        <v>6957</v>
      </c>
      <c r="U92" s="11">
        <f>ROUND(MAX(0,N($E92)-(Q92-R92)-M92)*Paramètres!$C$12,0)</f>
        <v>2067</v>
      </c>
      <c r="V92" s="14">
        <f t="shared" si="11"/>
        <v>204676</v>
      </c>
    </row>
    <row r="93" spans="2:22" ht="17.25" customHeight="1" x14ac:dyDescent="0.35">
      <c r="B93" s="7">
        <v>87</v>
      </c>
      <c r="C93" s="8" t="s">
        <v>112</v>
      </c>
      <c r="D93" s="9">
        <v>46061</v>
      </c>
      <c r="E93" s="40">
        <v>213566</v>
      </c>
      <c r="F93" s="11">
        <f>MIN(ROUNDDOWN(N($E93)*Paramètres!$C$16,0),Paramètres!$D$16)</f>
        <v>42713</v>
      </c>
      <c r="G93" s="11">
        <f>MIN(ROUNDDOWN(N($E93)*Paramètres!$C$17,0),Paramètres!$D$17)</f>
        <v>10678</v>
      </c>
      <c r="H93" s="11">
        <f>MIN(ROUNDDOWN(N($E93)*Paramètres!$C$18,0),Paramètres!$D$18)</f>
        <v>10678</v>
      </c>
      <c r="I93" s="11">
        <f t="shared" si="8"/>
        <v>149497</v>
      </c>
      <c r="J93" s="12">
        <v>0</v>
      </c>
      <c r="K93" s="13" t="str">
        <f>IF(I93&lt;Paramètres!$C$11,"Cadre inférieur","Cadre supérieur")</f>
        <v>Cadre inférieur</v>
      </c>
      <c r="L93" s="11">
        <f>MIN(F93,MIN(N($E93)*Paramètres!$C$16,Paramètres!$D$16))+MIN(G93,MIN(N($E93)*Paramètres!$C$17,Paramètres!$D$17))+MIN(H93,MIN(N($E93)*Paramètres!$C$18,Paramètres!$D$18))</f>
        <v>64069</v>
      </c>
      <c r="M93" s="11">
        <f>MIN(N($E93),Paramètres!$C$7)*Paramètres!$C$6</f>
        <v>11746.13</v>
      </c>
      <c r="N93" s="11">
        <f>MIN(M93,I93*Paramètres!$C$8)</f>
        <v>11746.13</v>
      </c>
      <c r="O93" s="11">
        <f>I93*IF(K93="Cadre supérieur",Paramètres!$C$10,Paramètres!$C$9)</f>
        <v>37374.25</v>
      </c>
      <c r="P93" s="11">
        <f t="shared" si="9"/>
        <v>100300</v>
      </c>
      <c r="Q93" s="11">
        <f>SUMPRODUCT((P93&gt;Paramètres!$B$21:$B$27)*(P93-Paramètres!$B$21:$B$27)*Paramètres!$E$21:$E$27)</f>
        <v>9777.1</v>
      </c>
      <c r="R93" s="11">
        <f>Q93*INDEX(Paramètres!$C$31:$C$38,MIN(MAX(INT(N(J93)),0),7)+1)</f>
        <v>0</v>
      </c>
      <c r="S93" s="14">
        <f t="shared" si="10"/>
        <v>9777</v>
      </c>
      <c r="T93" s="11">
        <f>ROUND(N($E93)*Paramètres!$C$13,0)</f>
        <v>6407</v>
      </c>
      <c r="U93" s="11">
        <f>ROUND(MAX(0,N($E93)-(Q93-R93)-M93)*Paramètres!$C$12,0)</f>
        <v>1920</v>
      </c>
      <c r="V93" s="14">
        <f t="shared" si="11"/>
        <v>190123</v>
      </c>
    </row>
    <row r="94" spans="2:22" ht="17.25" customHeight="1" x14ac:dyDescent="0.35">
      <c r="B94" s="7">
        <v>88</v>
      </c>
      <c r="C94" s="8" t="s">
        <v>113</v>
      </c>
      <c r="D94" s="9">
        <v>46220</v>
      </c>
      <c r="E94" s="40">
        <v>195484</v>
      </c>
      <c r="F94" s="11">
        <f>MIN(ROUNDDOWN(N($E94)*Paramètres!$C$16,0),Paramètres!$D$16)</f>
        <v>39096</v>
      </c>
      <c r="G94" s="11">
        <f>MIN(ROUNDDOWN(N($E94)*Paramètres!$C$17,0),Paramètres!$D$17)</f>
        <v>9774</v>
      </c>
      <c r="H94" s="11">
        <f>MIN(ROUNDDOWN(N($E94)*Paramètres!$C$18,0),Paramètres!$D$18)</f>
        <v>9774</v>
      </c>
      <c r="I94" s="11">
        <f t="shared" si="8"/>
        <v>136840</v>
      </c>
      <c r="J94" s="12">
        <v>0</v>
      </c>
      <c r="K94" s="13" t="str">
        <f>IF(I94&lt;Paramètres!$C$11,"Cadre inférieur","Cadre supérieur")</f>
        <v>Cadre inférieur</v>
      </c>
      <c r="L94" s="11">
        <f>MIN(F94,MIN(N($E94)*Paramètres!$C$16,Paramètres!$D$16))+MIN(G94,MIN(N($E94)*Paramètres!$C$17,Paramètres!$D$17))+MIN(H94,MIN(N($E94)*Paramètres!$C$18,Paramètres!$D$18))</f>
        <v>58644</v>
      </c>
      <c r="M94" s="11">
        <f>MIN(N($E94),Paramètres!$C$7)*Paramètres!$C$6</f>
        <v>10751.62</v>
      </c>
      <c r="N94" s="11">
        <f>MIN(M94,I94*Paramètres!$C$8)</f>
        <v>10751.62</v>
      </c>
      <c r="O94" s="11">
        <f>I94*IF(K94="Cadre supérieur",Paramètres!$C$10,Paramètres!$C$9)</f>
        <v>34210</v>
      </c>
      <c r="P94" s="11">
        <f t="shared" si="9"/>
        <v>91800</v>
      </c>
      <c r="Q94" s="11">
        <f>SUMPRODUCT((P94&gt;Paramètres!$B$21:$B$27)*(P94-Paramètres!$B$21:$B$27)*Paramètres!$E$21:$E$27)</f>
        <v>8442.6</v>
      </c>
      <c r="R94" s="11">
        <f>Q94*INDEX(Paramètres!$C$31:$C$38,MIN(MAX(INT(N(J94)),0),7)+1)</f>
        <v>0</v>
      </c>
      <c r="S94" s="14">
        <f t="shared" si="10"/>
        <v>8443</v>
      </c>
      <c r="T94" s="11">
        <f>ROUND(N($E94)*Paramètres!$C$13,0)</f>
        <v>5865</v>
      </c>
      <c r="U94" s="11">
        <f>ROUND(MAX(0,N($E94)-(Q94-R94)-M94)*Paramètres!$C$12,0)</f>
        <v>1763</v>
      </c>
      <c r="V94" s="14">
        <f t="shared" si="11"/>
        <v>174526</v>
      </c>
    </row>
    <row r="95" spans="2:22" ht="17.25" customHeight="1" x14ac:dyDescent="0.35">
      <c r="B95" s="7">
        <v>89</v>
      </c>
      <c r="C95" s="8" t="s">
        <v>114</v>
      </c>
      <c r="D95" s="9">
        <v>46174</v>
      </c>
      <c r="E95" s="40">
        <v>177387</v>
      </c>
      <c r="F95" s="11">
        <f>MIN(ROUNDDOWN(N($E95)*Paramètres!$C$16,0),Paramètres!$D$16)</f>
        <v>35477</v>
      </c>
      <c r="G95" s="11">
        <f>MIN(ROUNDDOWN(N($E95)*Paramètres!$C$17,0),Paramètres!$D$17)</f>
        <v>8869</v>
      </c>
      <c r="H95" s="11">
        <f>MIN(ROUNDDOWN(N($E95)*Paramètres!$C$18,0),Paramètres!$D$18)</f>
        <v>8869</v>
      </c>
      <c r="I95" s="11">
        <f t="shared" si="8"/>
        <v>124172</v>
      </c>
      <c r="J95" s="12">
        <v>0</v>
      </c>
      <c r="K95" s="13" t="str">
        <f>IF(I95&lt;Paramètres!$C$11,"Cadre inférieur","Cadre supérieur")</f>
        <v>Cadre inférieur</v>
      </c>
      <c r="L95" s="11">
        <f>MIN(F95,MIN(N($E95)*Paramètres!$C$16,Paramètres!$D$16))+MIN(G95,MIN(N($E95)*Paramètres!$C$17,Paramètres!$D$17))+MIN(H95,MIN(N($E95)*Paramètres!$C$18,Paramètres!$D$18))</f>
        <v>53215</v>
      </c>
      <c r="M95" s="11">
        <f>MIN(N($E95),Paramètres!$C$7)*Paramètres!$C$6</f>
        <v>9756.2849999999999</v>
      </c>
      <c r="N95" s="11">
        <f>MIN(M95,I95*Paramètres!$C$8)</f>
        <v>9756.2849999999999</v>
      </c>
      <c r="O95" s="11">
        <f>I95*IF(K95="Cadre supérieur",Paramètres!$C$10,Paramètres!$C$9)</f>
        <v>31043</v>
      </c>
      <c r="P95" s="11">
        <f t="shared" si="9"/>
        <v>83300</v>
      </c>
      <c r="Q95" s="11">
        <f>SUMPRODUCT((P95&gt;Paramètres!$B$21:$B$27)*(P95-Paramètres!$B$21:$B$27)*Paramètres!$E$21:$E$27)</f>
        <v>7108.1</v>
      </c>
      <c r="R95" s="11">
        <f>Q95*INDEX(Paramètres!$C$31:$C$38,MIN(MAX(INT(N(J95)),0),7)+1)</f>
        <v>0</v>
      </c>
      <c r="S95" s="14">
        <f t="shared" si="10"/>
        <v>7108</v>
      </c>
      <c r="T95" s="11">
        <f>ROUND(N($E95)*Paramètres!$C$13,0)</f>
        <v>5322</v>
      </c>
      <c r="U95" s="11">
        <f>ROUND(MAX(0,N($E95)-(Q95-R95)-M95)*Paramètres!$C$12,0)</f>
        <v>1605</v>
      </c>
      <c r="V95" s="14">
        <f t="shared" si="11"/>
        <v>158918</v>
      </c>
    </row>
    <row r="96" spans="2:22" ht="17.25" customHeight="1" x14ac:dyDescent="0.35">
      <c r="B96" s="7">
        <v>90</v>
      </c>
      <c r="C96" s="8" t="s">
        <v>115</v>
      </c>
      <c r="D96" s="9">
        <v>45784</v>
      </c>
      <c r="E96" s="40">
        <v>108397</v>
      </c>
      <c r="F96" s="11">
        <f>MIN(ROUNDDOWN(N($E96)*Paramètres!$C$16,0),Paramètres!$D$16)</f>
        <v>21679</v>
      </c>
      <c r="G96" s="11">
        <f>MIN(ROUNDDOWN(N($E96)*Paramètres!$C$17,0),Paramètres!$D$17)</f>
        <v>5419</v>
      </c>
      <c r="H96" s="11">
        <f>MIN(ROUNDDOWN(N($E96)*Paramètres!$C$18,0),Paramètres!$D$18)</f>
        <v>5419</v>
      </c>
      <c r="I96" s="11">
        <f t="shared" si="8"/>
        <v>75880</v>
      </c>
      <c r="J96" s="12">
        <v>0</v>
      </c>
      <c r="K96" s="13" t="str">
        <f>IF(I96&lt;Paramètres!$C$11,"Cadre inférieur","Cadre supérieur")</f>
        <v>Cadre inférieur</v>
      </c>
      <c r="L96" s="11">
        <f>MIN(F96,MIN(N($E96)*Paramètres!$C$16,Paramètres!$D$16))+MIN(G96,MIN(N($E96)*Paramètres!$C$17,Paramètres!$D$17))+MIN(H96,MIN(N($E96)*Paramètres!$C$18,Paramètres!$D$18))</f>
        <v>32517</v>
      </c>
      <c r="M96" s="11">
        <f>MIN(N($E96),Paramètres!$C$7)*Paramètres!$C$6</f>
        <v>5961.835</v>
      </c>
      <c r="N96" s="11">
        <f>MIN(M96,I96*Paramètres!$C$8)</f>
        <v>5961.835</v>
      </c>
      <c r="O96" s="11">
        <f>I96*IF(K96="Cadre supérieur",Paramètres!$C$10,Paramètres!$C$9)</f>
        <v>18970</v>
      </c>
      <c r="P96" s="11">
        <f t="shared" si="9"/>
        <v>50900</v>
      </c>
      <c r="Q96" s="11">
        <f>SUMPRODUCT((P96&gt;Paramètres!$B$21:$B$27)*(P96-Paramètres!$B$21:$B$27)*Paramètres!$E$21:$E$27)</f>
        <v>2545.1</v>
      </c>
      <c r="R96" s="11">
        <f>Q96*INDEX(Paramètres!$C$31:$C$38,MIN(MAX(INT(N(J96)),0),7)+1)</f>
        <v>0</v>
      </c>
      <c r="S96" s="14">
        <f t="shared" si="10"/>
        <v>2545</v>
      </c>
      <c r="T96" s="11">
        <f>ROUND(N($E96)*Paramètres!$C$13,0)</f>
        <v>3252</v>
      </c>
      <c r="U96" s="11">
        <f>ROUND(MAX(0,N($E96)-(Q96-R96)-M96)*Paramètres!$C$12,0)</f>
        <v>999</v>
      </c>
      <c r="V96" s="14">
        <f t="shared" si="11"/>
        <v>98891</v>
      </c>
    </row>
    <row r="97" spans="2:22" ht="17.25" customHeight="1" x14ac:dyDescent="0.35">
      <c r="B97" s="7">
        <v>91</v>
      </c>
      <c r="C97" s="21" t="s">
        <v>116</v>
      </c>
      <c r="D97" s="9">
        <v>46183</v>
      </c>
      <c r="E97" s="40">
        <v>177387</v>
      </c>
      <c r="F97" s="11">
        <f>MIN(ROUNDDOWN(N($E97)*Paramètres!$C$16,0),Paramètres!$D$16)</f>
        <v>35477</v>
      </c>
      <c r="G97" s="11">
        <f>MIN(ROUNDDOWN(N($E97)*Paramètres!$C$17,0),Paramètres!$D$17)</f>
        <v>8869</v>
      </c>
      <c r="H97" s="11">
        <f>MIN(ROUNDDOWN(N($E97)*Paramètres!$C$18,0),Paramètres!$D$18)</f>
        <v>8869</v>
      </c>
      <c r="I97" s="11">
        <f t="shared" si="8"/>
        <v>124172</v>
      </c>
      <c r="J97" s="12">
        <v>0</v>
      </c>
      <c r="K97" s="13" t="str">
        <f>IF(I97&lt;Paramètres!$C$11,"Cadre inférieur","Cadre supérieur")</f>
        <v>Cadre inférieur</v>
      </c>
      <c r="L97" s="11">
        <f>MIN(F97,MIN(N($E97)*Paramètres!$C$16,Paramètres!$D$16))+MIN(G97,MIN(N($E97)*Paramètres!$C$17,Paramètres!$D$17))+MIN(H97,MIN(N($E97)*Paramètres!$C$18,Paramètres!$D$18))</f>
        <v>53215</v>
      </c>
      <c r="M97" s="11">
        <f>MIN(N($E97),Paramètres!$C$7)*Paramètres!$C$6</f>
        <v>9756.2849999999999</v>
      </c>
      <c r="N97" s="11">
        <f>MIN(M97,I97*Paramètres!$C$8)</f>
        <v>9756.2849999999999</v>
      </c>
      <c r="O97" s="11">
        <f>I97*IF(K97="Cadre supérieur",Paramètres!$C$10,Paramètres!$C$9)</f>
        <v>31043</v>
      </c>
      <c r="P97" s="11">
        <f t="shared" si="9"/>
        <v>83300</v>
      </c>
      <c r="Q97" s="11">
        <f>SUMPRODUCT((P97&gt;Paramètres!$B$21:$B$27)*(P97-Paramètres!$B$21:$B$27)*Paramètres!$E$21:$E$27)</f>
        <v>7108.1</v>
      </c>
      <c r="R97" s="11">
        <f>Q97*INDEX(Paramètres!$C$31:$C$38,MIN(MAX(INT(N(J97)),0),7)+1)</f>
        <v>0</v>
      </c>
      <c r="S97" s="14">
        <f t="shared" si="10"/>
        <v>7108</v>
      </c>
      <c r="T97" s="11">
        <f>ROUND(N($E97)*Paramètres!$C$13,0)</f>
        <v>5322</v>
      </c>
      <c r="U97" s="11">
        <f>ROUND(MAX(0,N($E97)-(Q97-R97)-M97)*Paramètres!$C$12,0)</f>
        <v>1605</v>
      </c>
      <c r="V97" s="14">
        <f t="shared" si="11"/>
        <v>158918</v>
      </c>
    </row>
    <row r="98" spans="2:22" ht="17.25" customHeight="1" x14ac:dyDescent="0.35">
      <c r="B98" s="7">
        <v>92</v>
      </c>
      <c r="C98" s="21" t="s">
        <v>117</v>
      </c>
      <c r="D98" s="9"/>
      <c r="E98" s="40">
        <v>231913</v>
      </c>
      <c r="F98" s="11">
        <f>MIN(ROUNDDOWN(N($E98)*Paramètres!$C$16,0),Paramètres!$D$16)</f>
        <v>46382</v>
      </c>
      <c r="G98" s="11">
        <f>MIN(ROUNDDOWN(N($E98)*Paramètres!$C$17,0),Paramètres!$D$17)</f>
        <v>11595</v>
      </c>
      <c r="H98" s="11">
        <f>MIN(ROUNDDOWN(N($E98)*Paramètres!$C$18,0),Paramètres!$D$18)</f>
        <v>11595</v>
      </c>
      <c r="I98" s="11">
        <f t="shared" si="8"/>
        <v>162341</v>
      </c>
      <c r="J98" s="12">
        <v>0</v>
      </c>
      <c r="K98" s="13" t="str">
        <f>IF(I98&lt;Paramètres!$C$11,"Cadre inférieur","Cadre supérieur")</f>
        <v>Cadre supérieur</v>
      </c>
      <c r="L98" s="11">
        <f>MIN(F98,MIN(N($E98)*Paramètres!$C$16,Paramètres!$D$16))+MIN(G98,MIN(N($E98)*Paramètres!$C$17,Paramètres!$D$17))+MIN(H98,MIN(N($E98)*Paramètres!$C$18,Paramètres!$D$18))</f>
        <v>69572</v>
      </c>
      <c r="M98" s="11">
        <f>MIN(N($E98),Paramètres!$C$7)*Paramètres!$C$6</f>
        <v>12755.215</v>
      </c>
      <c r="N98" s="11">
        <f>MIN(M98,I98*Paramètres!$C$8)</f>
        <v>12755.215</v>
      </c>
      <c r="O98" s="11">
        <f>I98*IF(K98="Cadre supérieur",Paramètres!$C$10,Paramètres!$C$9)</f>
        <v>32468.2</v>
      </c>
      <c r="P98" s="11">
        <f t="shared" si="9"/>
        <v>117100</v>
      </c>
      <c r="Q98" s="11">
        <f>SUMPRODUCT((P98&gt;Paramètres!$B$21:$B$27)*(P98-Paramètres!$B$21:$B$27)*Paramètres!$E$21:$E$27)</f>
        <v>12414.7</v>
      </c>
      <c r="R98" s="11">
        <f>Q98*INDEX(Paramètres!$C$31:$C$38,MIN(MAX(INT(N(J98)),0),7)+1)</f>
        <v>0</v>
      </c>
      <c r="S98" s="14">
        <f t="shared" si="10"/>
        <v>12415</v>
      </c>
      <c r="T98" s="11">
        <f>ROUND(N($E98)*Paramètres!$C$13,0)</f>
        <v>6957</v>
      </c>
      <c r="U98" s="11">
        <f>ROUND(MAX(0,N($E98)-(Q98-R98)-M98)*Paramètres!$C$12,0)</f>
        <v>2067</v>
      </c>
      <c r="V98" s="14">
        <f t="shared" si="11"/>
        <v>204676</v>
      </c>
    </row>
    <row r="99" spans="2:22" ht="18" customHeight="1" x14ac:dyDescent="0.35">
      <c r="B99" s="7">
        <v>93</v>
      </c>
      <c r="C99" s="22" t="s">
        <v>118</v>
      </c>
      <c r="D99" s="23">
        <v>45778</v>
      </c>
      <c r="E99" s="40">
        <v>0</v>
      </c>
      <c r="F99" s="11">
        <f>MIN(ROUNDDOWN(N($E99)*Paramètres!$C$16,0),Paramètres!$D$16)</f>
        <v>0</v>
      </c>
      <c r="G99" s="11">
        <f>MIN(ROUNDDOWN(N($E99)*Paramètres!$C$17,0),Paramètres!$D$17)</f>
        <v>0</v>
      </c>
      <c r="H99" s="11">
        <f>MIN(ROUNDDOWN(N($E99)*Paramètres!$C$18,0),Paramètres!$D$18)</f>
        <v>0</v>
      </c>
      <c r="I99" s="11">
        <f t="shared" si="8"/>
        <v>0</v>
      </c>
      <c r="J99" s="12">
        <v>0</v>
      </c>
      <c r="K99" s="13" t="str">
        <f>IF(I99&lt;Paramètres!$C$11,"Cadre inférieur","Cadre supérieur")</f>
        <v>Cadre inférieur</v>
      </c>
      <c r="L99" s="11">
        <f>MIN(F99,MIN(N($E99)*Paramètres!$C$16,Paramètres!$D$16))+MIN(G99,MIN(N($E99)*Paramètres!$C$17,Paramètres!$D$17))+MIN(H99,MIN(N($E99)*Paramètres!$C$18,Paramètres!$D$18))</f>
        <v>0</v>
      </c>
      <c r="M99" s="11">
        <f>MIN(N($E99),Paramètres!$C$7)*Paramètres!$C$6</f>
        <v>0</v>
      </c>
      <c r="N99" s="11">
        <f>MIN(M99,I99*Paramètres!$C$8)</f>
        <v>0</v>
      </c>
      <c r="O99" s="11">
        <f>I99*IF(K99="Cadre supérieur",Paramètres!$C$10,Paramètres!$C$9)</f>
        <v>0</v>
      </c>
      <c r="P99" s="11">
        <f t="shared" si="9"/>
        <v>0</v>
      </c>
      <c r="Q99" s="11">
        <f>SUMPRODUCT((P99&gt;Paramètres!$B$21:$B$27)*(P99-Paramètres!$B$21:$B$27)*Paramètres!$E$21:$E$27)</f>
        <v>0</v>
      </c>
      <c r="R99" s="11">
        <f>Q99*INDEX(Paramètres!$C$31:$C$38,MIN(MAX(INT(N(J99)),0),7)+1)</f>
        <v>0</v>
      </c>
      <c r="S99" s="14">
        <f t="shared" si="10"/>
        <v>0</v>
      </c>
      <c r="T99" s="11">
        <f>ROUND(N($E99)*Paramètres!$C$13,0)</f>
        <v>0</v>
      </c>
      <c r="U99" s="11">
        <f>ROUND(MAX(0,N($E99)-(Q99-R99)-M99)*Paramètres!$C$12,0)</f>
        <v>0</v>
      </c>
      <c r="V99" s="14">
        <f t="shared" si="11"/>
        <v>0</v>
      </c>
    </row>
    <row r="100" spans="2:22" ht="20.25" customHeight="1" x14ac:dyDescent="0.4">
      <c r="B100" s="51" t="s">
        <v>119</v>
      </c>
      <c r="C100" s="51"/>
      <c r="D100" s="51"/>
      <c r="E100" s="37">
        <f>SUM(E7:E99)</f>
        <v>17696056</v>
      </c>
      <c r="F100" s="25">
        <f>SUM(F7:F99)</f>
        <v>3383000</v>
      </c>
      <c r="G100" s="25">
        <f>SUM(G7:G99)</f>
        <v>871427</v>
      </c>
      <c r="H100" s="25">
        <f>SUM(H7:H99)</f>
        <v>884768</v>
      </c>
      <c r="I100" s="25">
        <f>SUM(I7:I99)</f>
        <v>12556861</v>
      </c>
      <c r="L100" s="25">
        <f t="shared" ref="L100:V100" si="12">SUM(L7:L99)</f>
        <v>5139195</v>
      </c>
      <c r="M100" s="25">
        <f t="shared" si="12"/>
        <v>969607.42999999993</v>
      </c>
      <c r="N100" s="25">
        <f t="shared" si="12"/>
        <v>969607.42999999993</v>
      </c>
      <c r="O100" s="25">
        <f t="shared" si="12"/>
        <v>2925044.7000000007</v>
      </c>
      <c r="P100" s="25">
        <f t="shared" si="12"/>
        <v>8657300</v>
      </c>
      <c r="Q100" s="25">
        <f t="shared" si="12"/>
        <v>905329.69999999902</v>
      </c>
      <c r="R100" s="25">
        <f t="shared" si="12"/>
        <v>0</v>
      </c>
      <c r="S100" s="26">
        <f t="shared" si="12"/>
        <v>905324</v>
      </c>
      <c r="T100" s="25">
        <f t="shared" si="12"/>
        <v>530888</v>
      </c>
      <c r="U100" s="25">
        <f t="shared" si="12"/>
        <v>158200</v>
      </c>
      <c r="V100" s="26">
        <f t="shared" si="12"/>
        <v>15662931</v>
      </c>
    </row>
    <row r="101" spans="2:22" ht="21" customHeight="1" x14ac:dyDescent="0.35">
      <c r="B101" s="52" t="s">
        <v>120</v>
      </c>
      <c r="C101" s="52"/>
      <c r="D101" s="52"/>
      <c r="E101" s="41"/>
      <c r="S101" s="28">
        <f>Août!S88+S100</f>
        <v>2458127</v>
      </c>
      <c r="T101" s="29">
        <f>Août!T88+T100</f>
        <v>1414300</v>
      </c>
      <c r="U101" s="29">
        <f>Août!U88+U100</f>
        <v>421008</v>
      </c>
      <c r="V101" s="28">
        <f>Août!V88+V100</f>
        <v>41682115</v>
      </c>
    </row>
    <row r="103" spans="2:22" x14ac:dyDescent="0.35">
      <c r="C103" s="30" t="s">
        <v>121</v>
      </c>
    </row>
    <row r="104" spans="2:22" x14ac:dyDescent="0.35">
      <c r="C104" s="31" t="s">
        <v>122</v>
      </c>
    </row>
    <row r="105" spans="2:22" x14ac:dyDescent="0.35">
      <c r="C105" s="31" t="s">
        <v>123</v>
      </c>
    </row>
    <row r="106" spans="2:22" x14ac:dyDescent="0.35">
      <c r="C106" s="31" t="s">
        <v>124</v>
      </c>
    </row>
    <row r="107" spans="2:22" x14ac:dyDescent="0.35">
      <c r="C107" s="31" t="s">
        <v>125</v>
      </c>
    </row>
    <row r="108" spans="2:22" x14ac:dyDescent="0.35">
      <c r="C108" s="31" t="s">
        <v>126</v>
      </c>
    </row>
  </sheetData>
  <mergeCells count="9">
    <mergeCell ref="L5:S5"/>
    <mergeCell ref="T5:V5"/>
    <mergeCell ref="B100:D100"/>
    <mergeCell ref="B101:D101"/>
    <mergeCell ref="B4:E4"/>
    <mergeCell ref="B5:C5"/>
    <mergeCell ref="D5:E5"/>
    <mergeCell ref="F5:I5"/>
    <mergeCell ref="J5:K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E39"/>
  <sheetViews>
    <sheetView tabSelected="1" zoomScaleNormal="100" workbookViewId="0">
      <selection activeCell="F14" sqref="F14"/>
    </sheetView>
  </sheetViews>
  <sheetFormatPr baseColWidth="10" defaultColWidth="8.6328125" defaultRowHeight="14.5" x14ac:dyDescent="0.35"/>
  <cols>
    <col min="1" max="1" width="3" customWidth="1"/>
    <col min="2" max="2" width="60" customWidth="1"/>
    <col min="3" max="5" width="16" customWidth="1"/>
  </cols>
  <sheetData>
    <row r="2" spans="2:4" ht="16.5" x14ac:dyDescent="0.35">
      <c r="B2" s="42" t="s">
        <v>131</v>
      </c>
    </row>
    <row r="3" spans="2:4" x14ac:dyDescent="0.35">
      <c r="B3" s="31" t="s">
        <v>132</v>
      </c>
    </row>
    <row r="5" spans="2:4" x14ac:dyDescent="0.35">
      <c r="B5" s="43" t="s">
        <v>133</v>
      </c>
      <c r="C5" s="43" t="s">
        <v>134</v>
      </c>
    </row>
    <row r="6" spans="2:4" x14ac:dyDescent="0.35">
      <c r="B6" s="44" t="s">
        <v>135</v>
      </c>
      <c r="C6" s="45">
        <v>5.5E-2</v>
      </c>
      <c r="D6" s="31" t="s">
        <v>136</v>
      </c>
    </row>
    <row r="7" spans="2:4" x14ac:dyDescent="0.35">
      <c r="B7" s="44" t="s">
        <v>137</v>
      </c>
      <c r="C7" s="46">
        <v>800000</v>
      </c>
    </row>
    <row r="8" spans="2:4" x14ac:dyDescent="0.35">
      <c r="B8" s="44" t="s">
        <v>138</v>
      </c>
      <c r="C8" s="45">
        <v>0.08</v>
      </c>
      <c r="D8" s="31" t="s">
        <v>139</v>
      </c>
    </row>
    <row r="9" spans="2:4" x14ac:dyDescent="0.35">
      <c r="B9" s="44" t="s">
        <v>140</v>
      </c>
      <c r="C9" s="45">
        <v>0.25</v>
      </c>
      <c r="D9" s="31" t="s">
        <v>139</v>
      </c>
    </row>
    <row r="10" spans="2:4" x14ac:dyDescent="0.35">
      <c r="B10" s="44" t="s">
        <v>141</v>
      </c>
      <c r="C10" s="45">
        <v>0.2</v>
      </c>
      <c r="D10" s="31" t="s">
        <v>139</v>
      </c>
    </row>
    <row r="11" spans="2:4" x14ac:dyDescent="0.35">
      <c r="B11" s="44" t="s">
        <v>142</v>
      </c>
      <c r="C11" s="46">
        <v>150000</v>
      </c>
      <c r="D11" s="31" t="s">
        <v>143</v>
      </c>
    </row>
    <row r="12" spans="2:4" x14ac:dyDescent="0.35">
      <c r="B12" s="44" t="s">
        <v>144</v>
      </c>
      <c r="C12" s="45">
        <v>0.01</v>
      </c>
      <c r="D12" s="31" t="s">
        <v>145</v>
      </c>
    </row>
    <row r="13" spans="2:4" x14ac:dyDescent="0.35">
      <c r="B13" s="44" t="s">
        <v>146</v>
      </c>
      <c r="C13" s="45">
        <v>0.03</v>
      </c>
      <c r="D13" s="31" t="s">
        <v>147</v>
      </c>
    </row>
    <row r="15" spans="2:4" ht="26" x14ac:dyDescent="0.35">
      <c r="B15" s="43" t="s">
        <v>148</v>
      </c>
      <c r="C15" s="43" t="s">
        <v>149</v>
      </c>
      <c r="D15" s="43" t="s">
        <v>150</v>
      </c>
    </row>
    <row r="16" spans="2:4" x14ac:dyDescent="0.35">
      <c r="B16" s="44" t="s">
        <v>151</v>
      </c>
      <c r="C16" s="45">
        <v>0.2</v>
      </c>
      <c r="D16" s="46">
        <v>75000</v>
      </c>
    </row>
    <row r="17" spans="2:5" x14ac:dyDescent="0.35">
      <c r="B17" s="44" t="s">
        <v>152</v>
      </c>
      <c r="C17" s="45">
        <v>0.05</v>
      </c>
      <c r="D17" s="46">
        <v>30000</v>
      </c>
    </row>
    <row r="18" spans="2:5" x14ac:dyDescent="0.35">
      <c r="B18" s="44" t="s">
        <v>153</v>
      </c>
      <c r="C18" s="45">
        <v>0.05</v>
      </c>
      <c r="D18" s="46">
        <v>50000</v>
      </c>
    </row>
    <row r="20" spans="2:5" ht="26" x14ac:dyDescent="0.35">
      <c r="B20" s="43" t="s">
        <v>154</v>
      </c>
      <c r="C20" s="43" t="s">
        <v>155</v>
      </c>
      <c r="D20" s="43" t="s">
        <v>156</v>
      </c>
      <c r="E20" s="43" t="s">
        <v>157</v>
      </c>
    </row>
    <row r="21" spans="2:5" x14ac:dyDescent="0.35">
      <c r="B21" s="46">
        <v>0</v>
      </c>
      <c r="C21" s="46">
        <v>30000</v>
      </c>
      <c r="D21" s="45">
        <v>0</v>
      </c>
      <c r="E21" s="47">
        <f>D21</f>
        <v>0</v>
      </c>
    </row>
    <row r="22" spans="2:5" x14ac:dyDescent="0.35">
      <c r="B22" s="46">
        <v>30000</v>
      </c>
      <c r="C22" s="46">
        <v>50000</v>
      </c>
      <c r="D22" s="45">
        <v>0.121</v>
      </c>
      <c r="E22" s="47">
        <f t="shared" ref="E22:E27" si="0">D22-D21</f>
        <v>0.121</v>
      </c>
    </row>
    <row r="23" spans="2:5" x14ac:dyDescent="0.35">
      <c r="B23" s="46">
        <v>50000</v>
      </c>
      <c r="C23" s="46">
        <v>80000</v>
      </c>
      <c r="D23" s="45">
        <v>0.13900000000000001</v>
      </c>
      <c r="E23" s="47">
        <f t="shared" si="0"/>
        <v>1.8000000000000016E-2</v>
      </c>
    </row>
    <row r="24" spans="2:5" x14ac:dyDescent="0.35">
      <c r="B24" s="46">
        <v>80000</v>
      </c>
      <c r="C24" s="46">
        <v>120000</v>
      </c>
      <c r="D24" s="45">
        <v>0.157</v>
      </c>
      <c r="E24" s="47">
        <f t="shared" si="0"/>
        <v>1.7999999999999988E-2</v>
      </c>
    </row>
    <row r="25" spans="2:5" x14ac:dyDescent="0.35">
      <c r="B25" s="46">
        <v>120000</v>
      </c>
      <c r="C25" s="46">
        <v>170000</v>
      </c>
      <c r="D25" s="45">
        <v>0.184</v>
      </c>
      <c r="E25" s="47">
        <f t="shared" si="0"/>
        <v>2.6999999999999996E-2</v>
      </c>
    </row>
    <row r="26" spans="2:5" x14ac:dyDescent="0.35">
      <c r="B26" s="46">
        <v>170000</v>
      </c>
      <c r="C26" s="46">
        <v>250000</v>
      </c>
      <c r="D26" s="45">
        <v>0.217</v>
      </c>
      <c r="E26" s="47">
        <f t="shared" si="0"/>
        <v>3.3000000000000002E-2</v>
      </c>
    </row>
    <row r="27" spans="2:5" x14ac:dyDescent="0.35">
      <c r="B27" s="46">
        <v>250000</v>
      </c>
      <c r="C27" s="46" t="s">
        <v>158</v>
      </c>
      <c r="D27" s="45">
        <v>0.25</v>
      </c>
      <c r="E27" s="47">
        <f t="shared" si="0"/>
        <v>3.3000000000000002E-2</v>
      </c>
    </row>
    <row r="28" spans="2:5" x14ac:dyDescent="0.35">
      <c r="B28" s="31" t="s">
        <v>159</v>
      </c>
    </row>
    <row r="30" spans="2:5" x14ac:dyDescent="0.35">
      <c r="B30" s="43" t="s">
        <v>160</v>
      </c>
      <c r="C30" s="43" t="s">
        <v>161</v>
      </c>
    </row>
    <row r="31" spans="2:5" x14ac:dyDescent="0.35">
      <c r="B31" s="48">
        <v>0</v>
      </c>
      <c r="C31" s="45">
        <v>0</v>
      </c>
    </row>
    <row r="32" spans="2:5" x14ac:dyDescent="0.35">
      <c r="B32" s="48">
        <v>1</v>
      </c>
      <c r="C32" s="45">
        <v>0.08</v>
      </c>
    </row>
    <row r="33" spans="2:3" x14ac:dyDescent="0.35">
      <c r="B33" s="48">
        <v>2</v>
      </c>
      <c r="C33" s="45">
        <v>0.1</v>
      </c>
    </row>
    <row r="34" spans="2:3" x14ac:dyDescent="0.35">
      <c r="B34" s="48">
        <v>3</v>
      </c>
      <c r="C34" s="45">
        <v>0.12</v>
      </c>
    </row>
    <row r="35" spans="2:3" x14ac:dyDescent="0.35">
      <c r="B35" s="48">
        <v>4</v>
      </c>
      <c r="C35" s="45">
        <v>0.14000000000000001</v>
      </c>
    </row>
    <row r="36" spans="2:3" x14ac:dyDescent="0.35">
      <c r="B36" s="48">
        <v>5</v>
      </c>
      <c r="C36" s="45">
        <v>0.16</v>
      </c>
    </row>
    <row r="37" spans="2:3" x14ac:dyDescent="0.35">
      <c r="B37" s="48">
        <v>6</v>
      </c>
      <c r="C37" s="45">
        <v>0.18</v>
      </c>
    </row>
    <row r="38" spans="2:3" x14ac:dyDescent="0.35">
      <c r="B38" s="48">
        <v>7</v>
      </c>
      <c r="C38" s="45">
        <v>0.2</v>
      </c>
    </row>
    <row r="39" spans="2:3" x14ac:dyDescent="0.35">
      <c r="B39" s="31" t="s">
        <v>162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JUILLET</vt:lpstr>
      <vt:lpstr>Août</vt:lpstr>
      <vt:lpstr>Septembre</vt:lpstr>
      <vt:lpstr>Paramètres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COMPTABILITE</dc:creator>
  <dc:description/>
  <cp:lastModifiedBy>Aimé SIENI</cp:lastModifiedBy>
  <cp:revision>0</cp:revision>
  <dcterms:created xsi:type="dcterms:W3CDTF">2026-09-08T08:56:00Z</dcterms:created>
  <dcterms:modified xsi:type="dcterms:W3CDTF">2026-10-12T07:24:05Z</dcterms:modified>
  <dc:language>en-US</dc:language>
</cp:coreProperties>
</file>