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Jan-fév-mars-avril-mai-juin" sheetId="1" state="visible" r:id="rId3"/>
    <sheet name="Juill-aout-sept 2026" sheetId="2" state="visible" r:id="rId4"/>
    <sheet name="Janvier" sheetId="3" state="visible" r:id="rId5"/>
    <sheet name="Février" sheetId="4" state="visible" r:id="rId6"/>
    <sheet name="Mars" sheetId="5" state="visible" r:id="rId7"/>
    <sheet name="Avril" sheetId="6" state="visible" r:id="rId8"/>
    <sheet name="Mai" sheetId="7" state="visible" r:id="rId9"/>
    <sheet name="Juin" sheetId="8" state="visible" r:id="rId10"/>
    <sheet name="Juillet" sheetId="9" state="visible" r:id="rId11"/>
    <sheet name="Août" sheetId="10" state="visible" r:id="rId12"/>
    <sheet name="Septembre" sheetId="11" state="visible" r:id="rId13"/>
    <sheet name="Récap IUTS" sheetId="12" state="visible" r:id="rId14"/>
    <sheet name="Synthèse mensuelle" sheetId="13" state="visible" r:id="rId15"/>
    <sheet name="Paramètr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7" authorId="0">
      <text>
        <r>
          <rPr>
            <sz val="10"/>
            <rFont val="Arial"/>
            <family val="2"/>
          </rPr>
          <t xml:space="preserve">Indemnité réelle reprise du classeur « Liste IUTS » (onglet Août) : non ventilée.</t>
        </r>
      </text>
    </comment>
    <comment ref="G7" authorId="0">
      <text>
        <r>
          <rPr>
            <sz val="10"/>
            <rFont val="Arial"/>
            <family val="2"/>
          </rPr>
          <t xml:space="preserve">Indemnité réelle reprise du classeur « Liste IUTS » (onglet Août) : non ventilée.</t>
        </r>
      </text>
    </comment>
    <comment ref="H7" authorId="0">
      <text>
        <r>
          <rPr>
            <sz val="10"/>
            <rFont val="Arial"/>
            <family val="2"/>
          </rPr>
          <t xml:space="preserve">Indemnité réelle reprise du classeur « Liste IUTS » (onglet Août) : non ventilée.</t>
        </r>
      </text>
    </comment>
  </commentList>
</comments>
</file>

<file path=xl/sharedStrings.xml><?xml version="1.0" encoding="utf-8"?>
<sst xmlns="http://schemas.openxmlformats.org/spreadsheetml/2006/main" count="944" uniqueCount="206">
  <si>
    <t xml:space="preserve">ETAT DES SALAIRES KS SARL</t>
  </si>
  <si>
    <t xml:space="preserve">Période: </t>
  </si>
  <si>
    <t xml:space="preserve">JUILLET - AOUT - SEPTEMBRE 2026</t>
  </si>
  <si>
    <t xml:space="preserve">N°</t>
  </si>
  <si>
    <t xml:space="preserve">Nom&amp;Prénom</t>
  </si>
  <si>
    <t xml:space="preserve">DATE D'ENTREE</t>
  </si>
  <si>
    <t xml:space="preserve">OUEDRAOGO Abdoul Ganiyou</t>
  </si>
  <si>
    <t xml:space="preserve">OUEDRAOGO Mohamed</t>
  </si>
  <si>
    <t xml:space="preserve">SAWADOGO Ibrahim</t>
  </si>
  <si>
    <t xml:space="preserve">SALO Arouna</t>
  </si>
  <si>
    <t xml:space="preserve">ILBOUDO Jean Marie</t>
  </si>
  <si>
    <t xml:space="preserve">KOMPAORE Anicet</t>
  </si>
  <si>
    <t xml:space="preserve">BASSOLE Ines</t>
  </si>
  <si>
    <t xml:space="preserve">KABRE Ali</t>
  </si>
  <si>
    <t xml:space="preserve">KABRE Esther</t>
  </si>
  <si>
    <t xml:space="preserve">Total par mois</t>
  </si>
  <si>
    <t xml:space="preserve">CUMUL</t>
  </si>
  <si>
    <t xml:space="preserve">BAGAGNAN Salima</t>
  </si>
  <si>
    <t xml:space="preserve">BANHORO Adama</t>
  </si>
  <si>
    <t xml:space="preserve">BARRO Yacouba</t>
  </si>
  <si>
    <t xml:space="preserve">BAWAR B. Fulgence</t>
  </si>
  <si>
    <t xml:space="preserve">BAZIE Issouf</t>
  </si>
  <si>
    <t xml:space="preserve">BELEM Abdoulaye</t>
  </si>
  <si>
    <t xml:space="preserve">BENAO Souleymane</t>
  </si>
  <si>
    <t xml:space="preserve">BILOGO Aline</t>
  </si>
  <si>
    <t xml:space="preserve">BONKOUNGOU Judicael</t>
  </si>
  <si>
    <t xml:space="preserve">BONKOUNGOU Moussa</t>
  </si>
  <si>
    <t xml:space="preserve">BOUKARI Amidou</t>
  </si>
  <si>
    <t xml:space="preserve">COULIBALY Ahmed</t>
  </si>
  <si>
    <t xml:space="preserve">DIABATE Mohamed</t>
  </si>
  <si>
    <t xml:space="preserve">DIALLO Boureima</t>
  </si>
  <si>
    <t xml:space="preserve">GANSONRE Alassane</t>
  </si>
  <si>
    <t xml:space="preserve">GOUBA Simon</t>
  </si>
  <si>
    <t xml:space="preserve">GOULLA Parbouré</t>
  </si>
  <si>
    <t xml:space="preserve">GUIGUEMDE CALEB</t>
  </si>
  <si>
    <t xml:space="preserve">ILBOUDO Alassane</t>
  </si>
  <si>
    <t xml:space="preserve">ILBOUDO Zakaria</t>
  </si>
  <si>
    <t xml:space="preserve">KABORE Abdoulaye</t>
  </si>
  <si>
    <t xml:space="preserve">KABORE Dramane</t>
  </si>
  <si>
    <t xml:space="preserve">0107/2026</t>
  </si>
  <si>
    <t xml:space="preserve">KABORE Lassane</t>
  </si>
  <si>
    <t xml:space="preserve">KABORE Sid Mohamed</t>
  </si>
  <si>
    <t xml:space="preserve">KABRE Daouda</t>
  </si>
  <si>
    <t xml:space="preserve">KARAMA Youmati</t>
  </si>
  <si>
    <t xml:space="preserve">KAZIENGA PascaL</t>
  </si>
  <si>
    <t xml:space="preserve">KOANDA Souleymane</t>
  </si>
  <si>
    <t xml:space="preserve">KONE Tidiane</t>
  </si>
  <si>
    <t xml:space="preserve">KONSIMBO A. Aziz</t>
  </si>
  <si>
    <t xml:space="preserve">MAIGA Harisso</t>
  </si>
  <si>
    <t xml:space="preserve">NANEMA Roger</t>
  </si>
  <si>
    <t xml:space="preserve">NANGA Yaba</t>
  </si>
  <si>
    <t xml:space="preserve">NIKIEMA Ibrahim</t>
  </si>
  <si>
    <t xml:space="preserve">NITIEMA Soumaila</t>
  </si>
  <si>
    <t xml:space="preserve">OUATTARA Abou</t>
  </si>
  <si>
    <t xml:space="preserve">OUATTARA Alassane</t>
  </si>
  <si>
    <t xml:space="preserve">OUEDRAOGO A. Aziz</t>
  </si>
  <si>
    <t xml:space="preserve">OUEDRAOGO Abdoul Ganyou</t>
  </si>
  <si>
    <t xml:space="preserve">OUEDRAOGO Abdoul Rasmane</t>
  </si>
  <si>
    <t xml:space="preserve">OUEDRAOGO Ali</t>
  </si>
  <si>
    <t xml:space="preserve">OUEDRAOGO Aziz</t>
  </si>
  <si>
    <t xml:space="preserve">OUEDRAOGO Christian</t>
  </si>
  <si>
    <t xml:space="preserve">OUEDRAOGO Ibrahim</t>
  </si>
  <si>
    <t xml:space="preserve">OUEDRAOGO Issa</t>
  </si>
  <si>
    <t xml:space="preserve">OUEDRAOGO Karim</t>
  </si>
  <si>
    <t xml:space="preserve">OUEDRAOGO Micailou</t>
  </si>
  <si>
    <t xml:space="preserve">OUEDRAOGO Moustapha</t>
  </si>
  <si>
    <t xml:space="preserve">OUEDRAOGO Ousseni</t>
  </si>
  <si>
    <t xml:space="preserve">OUEDRAOGO Raogo G. Fernand</t>
  </si>
  <si>
    <t xml:space="preserve">OUEDRAOGO Réné</t>
  </si>
  <si>
    <t xml:space="preserve">OUEDRAOGO Sebastien</t>
  </si>
  <si>
    <t xml:space="preserve">OUEDRAOGO Souleymane</t>
  </si>
  <si>
    <t xml:space="preserve">OUEDRAOGO T. Issaka</t>
  </si>
  <si>
    <t xml:space="preserve">RABO Abdoul Razack</t>
  </si>
  <si>
    <t xml:space="preserve">SABO Daouda</t>
  </si>
  <si>
    <t xml:space="preserve">SANA Mahamadi</t>
  </si>
  <si>
    <t xml:space="preserve">SANFO Aziz</t>
  </si>
  <si>
    <t xml:space="preserve">SANGA Boureima</t>
  </si>
  <si>
    <t xml:space="preserve">SAWADOGO Faissal</t>
  </si>
  <si>
    <t xml:space="preserve">SAWADOGO Ousseni</t>
  </si>
  <si>
    <t xml:space="preserve">SEYNOU Cheick Omar</t>
  </si>
  <si>
    <t xml:space="preserve">SOULAMA Bamassi</t>
  </si>
  <si>
    <t xml:space="preserve">TIENDREBEOGO Mohamed</t>
  </si>
  <si>
    <t xml:space="preserve">TRAORE Bilal</t>
  </si>
  <si>
    <t xml:space="preserve">TRAORE Moussa</t>
  </si>
  <si>
    <t xml:space="preserve">TRAORE Souleymane</t>
  </si>
  <si>
    <t xml:space="preserve">WREMA Menahourna</t>
  </si>
  <si>
    <t xml:space="preserve">YAGO Carole</t>
  </si>
  <si>
    <t xml:space="preserve">YAGUIBOU Batatias</t>
  </si>
  <si>
    <t xml:space="preserve">YAMEOGO Pascal</t>
  </si>
  <si>
    <t xml:space="preserve">YARA Rachidatou</t>
  </si>
  <si>
    <t xml:space="preserve">ZABPAODRE Amed</t>
  </si>
  <si>
    <t xml:space="preserve">ZABRE D. Daouda</t>
  </si>
  <si>
    <t xml:space="preserve">ZERBO Ousmane</t>
  </si>
  <si>
    <t xml:space="preserve">ZEBO Hervé</t>
  </si>
  <si>
    <t xml:space="preserve">ZIBA Abdoul Rasmané</t>
  </si>
  <si>
    <t xml:space="preserve">ZIDOUEMBA Latifou</t>
  </si>
  <si>
    <t xml:space="preserve">ZOANGA Issa</t>
  </si>
  <si>
    <t xml:space="preserve">ZOMBRE Ponde Paul</t>
  </si>
  <si>
    <t xml:space="preserve">ZONGO Arnaud</t>
  </si>
  <si>
    <t xml:space="preserve">ZONGO Soumaila</t>
  </si>
  <si>
    <t xml:space="preserve">ZOROM Adama</t>
  </si>
  <si>
    <t xml:space="preserve">ZOROM Daouda</t>
  </si>
  <si>
    <t xml:space="preserve">JANVIER 2026</t>
  </si>
  <si>
    <t xml:space="preserve">Ventilation simulée (max. exonéré)</t>
  </si>
  <si>
    <t xml:space="preserve">Hypothèses</t>
  </si>
  <si>
    <t xml:space="preserve">Calcul IUTS</t>
  </si>
  <si>
    <t xml:space="preserve">TPA, Rosalaire et net</t>
  </si>
  <si>
    <t xml:space="preserve">Brut Janvier</t>
  </si>
  <si>
    <t xml:space="preserve">Ind. Logement</t>
  </si>
  <si>
    <t xml:space="preserve">Ind. Transport</t>
  </si>
  <si>
    <t xml:space="preserve">Ind. Fonction</t>
  </si>
  <si>
    <t xml:space="preserve">Salaire de base</t>
  </si>
  <si>
    <t xml:space="preserve">Nb charges</t>
  </si>
  <si>
    <t xml:space="preserve">Catégorie</t>
  </si>
  <si>
    <t xml:space="preserve">Montant exonéré</t>
  </si>
  <si>
    <t xml:space="preserve">CNSS salarié 5,5 %</t>
  </si>
  <si>
    <t xml:space="preserve">Déduction retraite</t>
  </si>
  <si>
    <t xml:space="preserve">Abattement forfaitaire</t>
  </si>
  <si>
    <t xml:space="preserve">Base imposable (arr. 100)</t>
  </si>
  <si>
    <t xml:space="preserve">IUTS brut</t>
  </si>
  <si>
    <t xml:space="preserve">Réduction charges</t>
  </si>
  <si>
    <t xml:space="preserve">IUTS NET</t>
  </si>
  <si>
    <t xml:space="preserve">TPA 3 % (patronale)</t>
  </si>
  <si>
    <t xml:space="preserve">Rosalaire 1 %</t>
  </si>
  <si>
    <t xml:space="preserve">SALAIRE NET À PAYER</t>
  </si>
  <si>
    <t xml:space="preserve">CUMUL depuis janvier</t>
  </si>
  <si>
    <t xml:space="preserve">Hypothèses du calcul IUTS (modifiables) :</t>
  </si>
  <si>
    <t xml:space="preserve">• 0 charge de famille pour tous — colonne « Nb charges » à corriger au besoin.</t>
  </si>
  <si>
    <t xml:space="preserve">• Catégorie : salaire de base &lt; 150 000 → cadre inférieur (abattement 25 %) ; sinon cadre supérieur (abattement 20 %).</t>
  </si>
  <si>
    <t xml:space="preserve">• Rosalaire = 1 % × (brut − IUTS − CNSS) ; net à payer = brut − CNSS − IUTS − Rosalaire ; TPA = 3 % du brut, à la charge de l'employeur.</t>
  </si>
  <si>
    <t xml:space="preserve">• Brut ventilé au maximum exonéré : logement 20 % (≤ 75 000), transport 5 % (≤ 30 000), fonction 5 % (≤ 50 000) du brut ; le reste = salaire de base.</t>
  </si>
  <si>
    <t xml:space="preserve">• Taux, plafonds et barème : onglet « Paramètres ». IUTS net arrondi au franc.</t>
  </si>
  <si>
    <t xml:space="preserve">FÉVRIER 2026</t>
  </si>
  <si>
    <t xml:space="preserve">Brut Février</t>
  </si>
  <si>
    <t xml:space="preserve">MARS 2026</t>
  </si>
  <si>
    <t xml:space="preserve">Brut Mars</t>
  </si>
  <si>
    <t xml:space="preserve">AVRIL 2026</t>
  </si>
  <si>
    <t xml:space="preserve">Brut Avril</t>
  </si>
  <si>
    <t xml:space="preserve">MAI 2026</t>
  </si>
  <si>
    <t xml:space="preserve">Brut Mai</t>
  </si>
  <si>
    <t xml:space="preserve">JUIN 2026</t>
  </si>
  <si>
    <t xml:space="preserve">Brut Juin</t>
  </si>
  <si>
    <t xml:space="preserve">JUILLET 2026</t>
  </si>
  <si>
    <t xml:space="preserve">Brut Juillet</t>
  </si>
  <si>
    <t xml:space="preserve">AOÛT 2026</t>
  </si>
  <si>
    <t xml:space="preserve">Brut Août</t>
  </si>
  <si>
    <t xml:space="preserve">• Indemnités réelles (en bleu) reprises du classeur « Liste IUTS » : BAGAGNAN Salima.</t>
  </si>
  <si>
    <t xml:space="preserve">SEPTEMBRE 2026</t>
  </si>
  <si>
    <t xml:space="preserve">Brut Septembre</t>
  </si>
  <si>
    <t xml:space="preserve">RÉCAPITULATIF IUTS — KS SARL — Janvier à Septembre 2026</t>
  </si>
  <si>
    <t xml:space="preserve">Hypothèses : 0 charge de famille ; catégorie selon le salaire de base (&lt; 150 000 = cadre inférieur) ; brut ventilé au maximum exonéré (voir « Paramètres »).</t>
  </si>
  <si>
    <t xml:space="preserve">Nom &amp; Prénom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</si>
  <si>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</si>
  <si>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</si>
  <si>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</si>
  <si>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</si>
  <si>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</si>
  <si>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</si>
  <si>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</si>
  <si>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</si>
  <si>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</si>
  <si>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TOTAL</t>
  </si>
  <si>
    <t xml:space="preserve">Contrôle (écart avec les onglets, doit être 0)</t>
  </si>
  <si>
    <t xml:space="preserve">« OUEDRAOGO Abdoul Ganiyou » (Jan-Juin) rattaché à « OUEDRAOGO Abdoul Ganyou » (Juil-Sept).</t>
  </si>
  <si>
    <t xml:space="preserve">SYNTHÈSE MENSUELLE — KS SARL — 2026</t>
  </si>
  <si>
    <t xml:space="preserve">Mois</t>
  </si>
  <si>
    <t xml:space="preserve">Salariés payés</t>
  </si>
  <si>
    <t xml:space="preserve">Salaire brut</t>
  </si>
  <si>
    <t xml:space="preserve">CNSS salarié</t>
  </si>
  <si>
    <t xml:space="preserve">IUTS</t>
  </si>
  <si>
    <t xml:space="preserve">Rosalaire</t>
  </si>
  <si>
    <t xml:space="preserve">Net à payer</t>
  </si>
  <si>
    <t xml:space="preserve">TPA (patronale)</t>
  </si>
  <si>
    <t xml:space="preserve">Net à payer = brut − CNSS − IUTS − Rosalaire. TPA à la charge de l'employeur (non retenue sur le salaire).</t>
  </si>
  <si>
    <t xml:space="preserve">PARAMÈTRES DE CALCUL DE L'IUTS — Burkina Faso (CGI 2025)</t>
  </si>
  <si>
    <t xml:space="preserve">Valeurs identiques au barème par défaut du moteur Sigma Paie &amp; RH. Cellules bleues modifiables : tous les onglets se recalculent.</t>
  </si>
  <si>
    <t xml:space="preserve">Cotisations, abattements et taxes</t>
  </si>
  <si>
    <t xml:space="preserve">Valeur</t>
  </si>
  <si>
    <t xml:space="preserve">Taux CNSS part salariale</t>
  </si>
  <si>
    <t xml:space="preserve">Retenue déductible de la base IUTS</t>
  </si>
  <si>
    <t xml:space="preserve">Plafond mensuel de l'assiette CNSS (FCFA)</t>
  </si>
  <si>
    <t xml:space="preserve">Plafond déduction retraite (% du salaire de base)</t>
  </si>
  <si>
    <t xml:space="preserve">Art. 111 CGI</t>
  </si>
  <si>
    <t xml:space="preserve">Abattement forfaitaire — cadre inférieur (% salaire de base)</t>
  </si>
  <si>
    <t xml:space="preserve">Abattement forfaitaire — cadre supérieur (% salaire de base)</t>
  </si>
  <si>
    <t xml:space="preserve">Seuil cadre supérieur — salaire de base à partir de (FCFA)</t>
  </si>
  <si>
    <t xml:space="preserve">Base &lt; seuil : cadre inférieur ; sinon cadre supérieur (règle KS SARL)</t>
  </si>
  <si>
    <t xml:space="preserve">Rosalaire / retenue spéciale (% de brut − IUTS − CNSS)</t>
  </si>
  <si>
    <t xml:space="preserve">Retenue salariale</t>
  </si>
  <si>
    <t xml:space="preserve">Taxe patronale et d'apprentissage — TPA (% du brut)</t>
  </si>
  <si>
    <t xml:space="preserve">Charge patronale, non retenue sur le salaire</t>
  </si>
  <si>
    <t xml:space="preserve">Indemnités exonérées (Art. 106 CGI)</t>
  </si>
  <si>
    <t xml:space="preserve">Taux max (% du brut)</t>
  </si>
  <si>
    <t xml:space="preserve">Plafond (FCFA)</t>
  </si>
  <si>
    <t xml:space="preserve">Logement</t>
  </si>
  <si>
    <t xml:space="preserve">Transport</t>
  </si>
  <si>
    <t xml:space="preserve">Fonction</t>
  </si>
  <si>
    <t xml:space="preserve">Barème progressif IUTS (Art. 112 CGI) — de</t>
  </si>
  <si>
    <t xml:space="preserve">à</t>
  </si>
  <si>
    <t xml:space="preserve">Taux</t>
  </si>
  <si>
    <t xml:space="preserve">Taux marginal différentiel</t>
  </si>
  <si>
    <t xml:space="preserve">et plus</t>
  </si>
  <si>
    <t xml:space="preserve">Base imposable arrondie à la centaine inférieure avant application du barème.</t>
  </si>
  <si>
    <t xml:space="preserve">Réduction pour charges de famille (Art. 113 CGI) — nb charges</t>
  </si>
  <si>
    <t xml:space="preserve">Réduction</t>
  </si>
  <si>
    <t xml:space="preserve">Au-delà de 7 charges, la réduction de 7 charges s'applique.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</si>
</sst>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-yy"/>
    <numFmt numFmtId="166" formatCode="m/d/yyyy"/>
    <numFmt numFmtId="167" formatCode="#,##0"/>
    <numFmt numFmtId="168" formatCode="_-* #,##0\ _€_-;\-* #,##0\ _€_-;_-* &quot;- &quot;_€_-;_-@_-"/>
    <numFmt numFmtId="169" formatCode="0"/>
    <numFmt numFmtId="170" formatCode="dd/mm/yyyy"/>
    <numFmt numFmtId="171" formatCode="0.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Times New Roman"/>
      <family val="1"/>
      <charset val="1"/>
    </font>
    <font>
      <b val="true"/>
      <sz val="16"/>
      <name val="Times New Roman"/>
      <family val="1"/>
      <charset val="1"/>
    </font>
    <font>
      <sz val="11"/>
      <name val="Calibri"/>
      <family val="2"/>
      <charset val="1"/>
    </font>
    <font>
      <sz val="11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color rgb="FFFF0000"/>
      <name val="Calibri"/>
      <family val="2"/>
      <charset val="1"/>
    </font>
    <font>
      <sz val="11"/>
      <color theme="1"/>
      <name val="Times New Roman"/>
      <family val="1"/>
      <charset val="1"/>
    </font>
    <font>
      <b val="true"/>
      <sz val="16"/>
      <name val="Arial"/>
      <family val="2"/>
      <charset val="1"/>
    </font>
    <font>
      <b val="true"/>
      <sz val="14"/>
      <name val="Calibri"/>
      <family val="2"/>
      <charset val="1"/>
    </font>
    <font>
      <b val="true"/>
      <sz val="16"/>
      <name val="Calibri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Times New Roman"/>
      <family val="0"/>
      <charset val="1"/>
    </font>
    <font>
      <sz val="11"/>
      <name val="Calibri"/>
      <family val="0"/>
      <charset val="1"/>
    </font>
    <font>
      <sz val="11"/>
      <name val="Times New Roman"/>
      <family val="0"/>
      <charset val="1"/>
    </font>
    <font>
      <sz val="11"/>
      <color rgb="FF008000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6"/>
      <name val="Calibri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2"/>
      <name val="Calibri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CC99FF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BFBFBF"/>
      </patternFill>
    </fill>
    <fill>
      <patternFill patternType="solid">
        <fgColor theme="0" tint="-0.25"/>
        <bgColor rgb="FFBDD7EE"/>
      </patternFill>
    </fill>
    <fill>
      <patternFill patternType="solid">
        <fgColor theme="3" tint="0.3999"/>
        <bgColor rgb="FF808080"/>
      </patternFill>
    </fill>
    <fill>
      <patternFill patternType="solid">
        <fgColor theme="7" tint="0.7999"/>
        <bgColor rgb="FFFFFFFF"/>
      </patternFill>
    </fill>
    <fill>
      <patternFill patternType="solid">
        <fgColor theme="5" tint="0.5999"/>
        <bgColor rgb="FFD9D9D9"/>
      </patternFill>
    </fill>
    <fill>
      <patternFill patternType="solid">
        <fgColor theme="4"/>
        <bgColor rgb="FF8497B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theme="4" tint="0.5999"/>
        <bgColor rgb="FFD9D9D9"/>
      </patternFill>
    </fill>
    <fill>
      <patternFill patternType="solid">
        <fgColor rgb="FFD9D9D9"/>
        <bgColor rgb="FFBDD7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7030A0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D18E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8497B0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3.11"/>
    <col collapsed="false" customWidth="true" hidden="false" outlineLevel="0" max="2" min="2" style="0" width="8.11"/>
    <col collapsed="false" customWidth="true" hidden="false" outlineLevel="0" max="3" min="3" style="0" width="37.22"/>
    <col collapsed="false" customWidth="true" hidden="false" outlineLevel="0" max="4" min="4" style="0" width="18.78"/>
    <col collapsed="false" customWidth="true" hidden="false" outlineLevel="0" max="8" min="5" style="0" width="16.33"/>
    <col collapsed="false" customWidth="true" hidden="false" outlineLevel="0" max="10" min="9" style="0" width="15.88"/>
  </cols>
  <sheetData>
    <row r="1" customFormat="false" ht="15" hidden="false" customHeight="true" outlineLevel="0" collapsed="false"/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B3" s="2" t="s">
        <v>1</v>
      </c>
      <c r="C3" s="2"/>
      <c r="D3" s="2" t="s">
        <v>2</v>
      </c>
      <c r="E3" s="2"/>
      <c r="F3" s="2"/>
      <c r="G3" s="2"/>
      <c r="H3" s="2"/>
      <c r="I3" s="2"/>
      <c r="J3" s="2"/>
    </row>
    <row r="4" customFormat="false" ht="27" hidden="false" customHeight="true" outlineLevel="0" collapsed="false">
      <c r="B4" s="3" t="s">
        <v>3</v>
      </c>
      <c r="C4" s="4" t="s">
        <v>4</v>
      </c>
      <c r="D4" s="5" t="s">
        <v>5</v>
      </c>
      <c r="E4" s="6" t="n">
        <v>46023</v>
      </c>
      <c r="F4" s="7" t="n">
        <v>46054</v>
      </c>
      <c r="G4" s="8" t="n">
        <v>46082</v>
      </c>
      <c r="H4" s="9" t="n">
        <v>46113</v>
      </c>
      <c r="I4" s="10" t="n">
        <v>46143</v>
      </c>
      <c r="J4" s="11" t="n">
        <v>46174</v>
      </c>
    </row>
    <row r="5" customFormat="false" ht="17.25" hidden="false" customHeight="true" outlineLevel="0" collapsed="false">
      <c r="B5" s="12" t="n">
        <v>1</v>
      </c>
      <c r="C5" s="13" t="s">
        <v>6</v>
      </c>
      <c r="D5" s="14" t="n">
        <v>45881</v>
      </c>
      <c r="E5" s="15" t="n">
        <v>165340</v>
      </c>
      <c r="F5" s="16" t="n">
        <v>225778</v>
      </c>
      <c r="G5" s="17" t="n">
        <v>225778</v>
      </c>
      <c r="H5" s="18" t="n">
        <v>225778</v>
      </c>
      <c r="I5" s="19" t="n">
        <v>225778</v>
      </c>
      <c r="J5" s="20" t="n">
        <v>346515</v>
      </c>
    </row>
    <row r="6" s="21" customFormat="true" ht="17.25" hidden="false" customHeight="true" outlineLevel="0" collapsed="false">
      <c r="B6" s="12" t="n">
        <v>2</v>
      </c>
      <c r="C6" s="13" t="s">
        <v>7</v>
      </c>
      <c r="D6" s="14" t="n">
        <v>45778</v>
      </c>
      <c r="E6" s="22" t="n">
        <v>0</v>
      </c>
      <c r="F6" s="16" t="n">
        <v>0</v>
      </c>
      <c r="G6" s="17" t="n">
        <v>213563</v>
      </c>
      <c r="H6" s="18" t="n">
        <v>213563</v>
      </c>
      <c r="I6" s="19" t="n">
        <v>213563</v>
      </c>
      <c r="J6" s="20" t="n">
        <v>225778</v>
      </c>
    </row>
    <row r="7" customFormat="false" ht="17.25" hidden="false" customHeight="true" outlineLevel="0" collapsed="false">
      <c r="B7" s="12" t="n">
        <v>3</v>
      </c>
      <c r="C7" s="13" t="s">
        <v>8</v>
      </c>
      <c r="D7" s="14" t="n">
        <v>45912</v>
      </c>
      <c r="E7" s="22" t="n">
        <v>0</v>
      </c>
      <c r="F7" s="16" t="n">
        <v>0</v>
      </c>
      <c r="G7" s="17" t="n">
        <v>213566</v>
      </c>
      <c r="H7" s="18" t="n">
        <v>213566</v>
      </c>
      <c r="I7" s="19" t="n">
        <v>213566</v>
      </c>
      <c r="J7" s="20" t="n">
        <v>225778</v>
      </c>
    </row>
    <row r="8" customFormat="false" ht="17.25" hidden="false" customHeight="true" outlineLevel="0" collapsed="false">
      <c r="B8" s="12" t="n">
        <v>4</v>
      </c>
      <c r="C8" s="13" t="s">
        <v>9</v>
      </c>
      <c r="D8" s="14" t="n">
        <v>45778</v>
      </c>
      <c r="E8" s="22" t="n">
        <v>0</v>
      </c>
      <c r="F8" s="16" t="n">
        <v>0</v>
      </c>
      <c r="G8" s="17" t="n">
        <v>0</v>
      </c>
      <c r="H8" s="18" t="n">
        <v>213566</v>
      </c>
      <c r="I8" s="19" t="n">
        <v>213566</v>
      </c>
      <c r="J8" s="20" t="n">
        <v>213566</v>
      </c>
    </row>
    <row r="9" customFormat="false" ht="17.25" hidden="false" customHeight="true" outlineLevel="0" collapsed="false">
      <c r="B9" s="12" t="n">
        <v>5</v>
      </c>
      <c r="C9" s="13" t="s">
        <v>10</v>
      </c>
      <c r="D9" s="14" t="n">
        <v>46000</v>
      </c>
      <c r="E9" s="22" t="n">
        <v>0</v>
      </c>
      <c r="F9" s="16" t="n">
        <v>0</v>
      </c>
      <c r="G9" s="17" t="n">
        <v>0</v>
      </c>
      <c r="H9" s="18" t="n">
        <v>177387</v>
      </c>
      <c r="I9" s="19" t="n">
        <v>177387</v>
      </c>
      <c r="J9" s="20" t="n">
        <v>177387</v>
      </c>
    </row>
    <row r="10" customFormat="false" ht="17.25" hidden="false" customHeight="true" outlineLevel="0" collapsed="false">
      <c r="B10" s="12" t="n">
        <v>6</v>
      </c>
      <c r="C10" s="13" t="s">
        <v>11</v>
      </c>
      <c r="D10" s="14" t="n">
        <v>45778</v>
      </c>
      <c r="E10" s="15" t="n">
        <v>165340</v>
      </c>
      <c r="F10" s="16" t="n">
        <v>225778</v>
      </c>
      <c r="G10" s="17" t="n">
        <v>225778</v>
      </c>
      <c r="H10" s="18" t="n">
        <v>225778</v>
      </c>
      <c r="I10" s="19" t="n">
        <v>225778</v>
      </c>
      <c r="J10" s="20" t="n">
        <v>225778</v>
      </c>
    </row>
    <row r="11" customFormat="false" ht="17.25" hidden="false" customHeight="true" outlineLevel="0" collapsed="false">
      <c r="B11" s="12" t="n">
        <v>7</v>
      </c>
      <c r="C11" s="13" t="s">
        <v>12</v>
      </c>
      <c r="D11" s="14" t="n">
        <v>45677</v>
      </c>
      <c r="E11" s="15" t="n">
        <v>286055</v>
      </c>
      <c r="F11" s="16" t="n">
        <v>286055</v>
      </c>
      <c r="G11" s="17" t="n">
        <v>286055</v>
      </c>
      <c r="H11" s="18" t="n">
        <v>286055</v>
      </c>
      <c r="I11" s="19" t="n">
        <v>346515</v>
      </c>
      <c r="J11" s="20" t="n">
        <v>346515</v>
      </c>
    </row>
    <row r="12" customFormat="false" ht="17.25" hidden="false" customHeight="true" outlineLevel="0" collapsed="false">
      <c r="B12" s="12" t="n">
        <v>8</v>
      </c>
      <c r="C12" s="23" t="s">
        <v>13</v>
      </c>
      <c r="D12" s="14" t="n">
        <v>45677</v>
      </c>
      <c r="E12" s="24" t="n">
        <v>286055</v>
      </c>
      <c r="F12" s="25" t="n">
        <v>286055</v>
      </c>
      <c r="G12" s="26" t="n">
        <v>286055</v>
      </c>
      <c r="H12" s="27" t="n">
        <v>286055</v>
      </c>
      <c r="I12" s="28" t="n">
        <v>346515</v>
      </c>
      <c r="J12" s="29" t="n">
        <v>346515</v>
      </c>
    </row>
    <row r="13" customFormat="false" ht="18" hidden="false" customHeight="true" outlineLevel="0" collapsed="false">
      <c r="B13" s="12" t="n">
        <v>9</v>
      </c>
      <c r="C13" s="13" t="s">
        <v>14</v>
      </c>
      <c r="D13" s="14" t="n">
        <v>46092</v>
      </c>
      <c r="E13" s="15" t="n">
        <v>0</v>
      </c>
      <c r="F13" s="16" t="n">
        <v>0</v>
      </c>
      <c r="G13" s="17" t="n">
        <v>135983</v>
      </c>
      <c r="H13" s="18" t="n">
        <v>135983</v>
      </c>
      <c r="I13" s="19" t="n">
        <v>165340</v>
      </c>
      <c r="J13" s="20" t="n">
        <v>165340</v>
      </c>
    </row>
    <row r="14" customFormat="false" ht="21" hidden="false" customHeight="true" outlineLevel="0" collapsed="false">
      <c r="B14" s="30" t="s">
        <v>15</v>
      </c>
      <c r="C14" s="30"/>
      <c r="D14" s="30"/>
      <c r="E14" s="31" t="n">
        <f aca="false">SUM(E5:E13)</f>
        <v>902790</v>
      </c>
      <c r="F14" s="31" t="n">
        <f aca="false">SUM(F5:F13)</f>
        <v>1023666</v>
      </c>
      <c r="G14" s="31" t="n">
        <f aca="false">SUM(G5:G13)</f>
        <v>1586778</v>
      </c>
      <c r="H14" s="31" t="n">
        <f aca="false">SUM(H5:H13)</f>
        <v>1977731</v>
      </c>
      <c r="I14" s="31" t="n">
        <f aca="false">SUM(I5:I13)</f>
        <v>2128008</v>
      </c>
      <c r="J14" s="31" t="n">
        <f aca="false">SUM(J5:J13)</f>
        <v>2273172</v>
      </c>
    </row>
    <row r="15" customFormat="false" ht="21" hidden="false" customHeight="true" outlineLevel="0" collapsed="false">
      <c r="B15" s="32" t="s">
        <v>16</v>
      </c>
      <c r="C15" s="32"/>
      <c r="D15" s="32"/>
      <c r="E15" s="33" t="n">
        <f aca="false">SUM(E14:J14)</f>
        <v>9892145</v>
      </c>
      <c r="F15" s="33"/>
      <c r="G15" s="33"/>
      <c r="H15" s="33"/>
      <c r="I15" s="33"/>
      <c r="J15" s="33"/>
    </row>
  </sheetData>
  <mergeCells count="6">
    <mergeCell ref="B2:J2"/>
    <mergeCell ref="B3:C3"/>
    <mergeCell ref="D3:J3"/>
    <mergeCell ref="B14:D14"/>
    <mergeCell ref="B15:D15"/>
    <mergeCell ref="E15:J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1:G99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E48" activeCellId="0" sqref="E48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3.11"/>
    <col collapsed="false" customWidth="true" hidden="false" outlineLevel="0" max="3" min="3" style="0" width="37.22"/>
    <col collapsed="false" customWidth="true" hidden="false" outlineLevel="0" max="4" min="4" style="0" width="18.78"/>
    <col collapsed="false" customWidth="true" hidden="false" outlineLevel="0" max="5" min="5" style="0" width="16.33"/>
    <col collapsed="false" customWidth="true" hidden="false" outlineLevel="0" max="7" min="6" style="0" width="15.88"/>
  </cols>
  <sheetData>
    <row r="1" customFormat="false" ht="15" hidden="false" customHeight="true" outlineLevel="0" collapsed="false"/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1.75" hidden="false" customHeight="true" outlineLevel="0" collapsed="false">
      <c r="B3" s="2" t="s">
        <v>1</v>
      </c>
      <c r="C3" s="2"/>
      <c r="D3" s="2" t="s">
        <v>2</v>
      </c>
      <c r="E3" s="2"/>
      <c r="F3" s="2"/>
      <c r="G3" s="2"/>
    </row>
    <row r="4" customFormat="false" ht="27" hidden="false" customHeight="true" outlineLevel="0" collapsed="false">
      <c r="B4" s="3" t="s">
        <v>3</v>
      </c>
      <c r="C4" s="4" t="s">
        <v>4</v>
      </c>
      <c r="D4" s="5" t="s">
        <v>5</v>
      </c>
      <c r="E4" s="7" t="n">
        <v>46204</v>
      </c>
      <c r="F4" s="10" t="n">
        <v>46235</v>
      </c>
      <c r="G4" s="34" t="n">
        <v>46266</v>
      </c>
    </row>
    <row r="5" customFormat="false" ht="17.25" hidden="false" customHeight="true" outlineLevel="0" collapsed="false">
      <c r="B5" s="12" t="n">
        <v>1</v>
      </c>
      <c r="C5" s="13" t="s">
        <v>17</v>
      </c>
      <c r="D5" s="14" t="n">
        <v>46242</v>
      </c>
      <c r="E5" s="16" t="n">
        <v>0</v>
      </c>
      <c r="F5" s="19" t="n">
        <v>80000</v>
      </c>
      <c r="G5" s="35" t="n">
        <v>80000</v>
      </c>
    </row>
    <row r="6" s="21" customFormat="true" ht="17.25" hidden="false" customHeight="true" outlineLevel="0" collapsed="false">
      <c r="B6" s="12" t="n">
        <v>2</v>
      </c>
      <c r="C6" s="13" t="s">
        <v>18</v>
      </c>
      <c r="D6" s="14" t="n">
        <v>46196</v>
      </c>
      <c r="E6" s="16" t="n">
        <v>0</v>
      </c>
      <c r="F6" s="19" t="n">
        <v>135983</v>
      </c>
      <c r="G6" s="35" t="n">
        <v>135983</v>
      </c>
    </row>
    <row r="7" customFormat="false" ht="17.25" hidden="false" customHeight="true" outlineLevel="0" collapsed="false">
      <c r="B7" s="12" t="n">
        <v>3</v>
      </c>
      <c r="C7" s="13" t="s">
        <v>19</v>
      </c>
      <c r="D7" s="14" t="n">
        <v>46000</v>
      </c>
      <c r="E7" s="16" t="n">
        <v>177387</v>
      </c>
      <c r="F7" s="19" t="n">
        <v>177387</v>
      </c>
      <c r="G7" s="35" t="n">
        <v>177387</v>
      </c>
    </row>
    <row r="8" customFormat="false" ht="17.25" hidden="false" customHeight="true" outlineLevel="0" collapsed="false">
      <c r="B8" s="12" t="n">
        <v>4</v>
      </c>
      <c r="C8" s="13" t="s">
        <v>12</v>
      </c>
      <c r="D8" s="14" t="n">
        <v>45677</v>
      </c>
      <c r="E8" s="16" t="n">
        <v>346515</v>
      </c>
      <c r="F8" s="19" t="n">
        <v>346515</v>
      </c>
      <c r="G8" s="35" t="n">
        <v>346515</v>
      </c>
    </row>
    <row r="9" customFormat="false" ht="17.25" hidden="false" customHeight="true" outlineLevel="0" collapsed="false">
      <c r="B9" s="12" t="n">
        <v>5</v>
      </c>
      <c r="C9" s="13" t="s">
        <v>20</v>
      </c>
      <c r="D9" s="14" t="n">
        <v>46023</v>
      </c>
      <c r="E9" s="16" t="n">
        <v>165340</v>
      </c>
      <c r="F9" s="19" t="n">
        <v>165340</v>
      </c>
      <c r="G9" s="35" t="n">
        <v>165340</v>
      </c>
    </row>
    <row r="10" customFormat="false" ht="17.25" hidden="false" customHeight="true" outlineLevel="0" collapsed="false">
      <c r="B10" s="12" t="n">
        <v>6</v>
      </c>
      <c r="C10" s="13" t="s">
        <v>21</v>
      </c>
      <c r="D10" s="14" t="n">
        <v>46217</v>
      </c>
      <c r="E10" s="16" t="n">
        <v>0</v>
      </c>
      <c r="F10" s="19" t="n">
        <v>177387</v>
      </c>
      <c r="G10" s="35" t="n">
        <v>177387</v>
      </c>
    </row>
    <row r="11" customFormat="false" ht="17.25" hidden="false" customHeight="true" outlineLevel="0" collapsed="false">
      <c r="B11" s="12" t="n">
        <v>7</v>
      </c>
      <c r="C11" s="13" t="s">
        <v>22</v>
      </c>
      <c r="D11" s="14" t="n">
        <v>46174</v>
      </c>
      <c r="E11" s="16" t="n">
        <v>195484</v>
      </c>
      <c r="F11" s="19" t="n">
        <v>195484</v>
      </c>
      <c r="G11" s="35" t="n">
        <v>195484</v>
      </c>
    </row>
    <row r="12" customFormat="false" ht="17.25" hidden="false" customHeight="true" outlineLevel="0" collapsed="false">
      <c r="B12" s="12" t="n">
        <v>8</v>
      </c>
      <c r="C12" s="13" t="s">
        <v>23</v>
      </c>
      <c r="D12" s="14" t="n">
        <v>45778</v>
      </c>
      <c r="E12" s="16" t="n">
        <v>213566</v>
      </c>
      <c r="F12" s="19" t="n">
        <v>213566</v>
      </c>
      <c r="G12" s="35" t="n">
        <v>213566</v>
      </c>
    </row>
    <row r="13" customFormat="false" ht="17.25" hidden="false" customHeight="true" outlineLevel="0" collapsed="false">
      <c r="B13" s="12" t="n">
        <v>9</v>
      </c>
      <c r="C13" s="13" t="s">
        <v>24</v>
      </c>
      <c r="D13" s="14" t="n">
        <v>46250</v>
      </c>
      <c r="E13" s="16" t="n">
        <v>0</v>
      </c>
      <c r="F13" s="19" t="n">
        <v>165340</v>
      </c>
      <c r="G13" s="35" t="n">
        <v>225778</v>
      </c>
    </row>
    <row r="14" customFormat="false" ht="17.25" hidden="false" customHeight="true" outlineLevel="0" collapsed="false">
      <c r="B14" s="12" t="n">
        <v>10</v>
      </c>
      <c r="C14" s="13" t="s">
        <v>25</v>
      </c>
      <c r="D14" s="14" t="n">
        <v>45778</v>
      </c>
      <c r="E14" s="16" t="n">
        <v>213563</v>
      </c>
      <c r="F14" s="19" t="n">
        <v>213563</v>
      </c>
      <c r="G14" s="35" t="n">
        <v>213563</v>
      </c>
    </row>
    <row r="15" customFormat="false" ht="17.25" hidden="false" customHeight="true" outlineLevel="0" collapsed="false">
      <c r="B15" s="12" t="n">
        <v>11</v>
      </c>
      <c r="C15" s="13" t="s">
        <v>26</v>
      </c>
      <c r="D15" s="14" t="n">
        <v>45778</v>
      </c>
      <c r="E15" s="16" t="n">
        <v>213563</v>
      </c>
      <c r="F15" s="19" t="n">
        <v>213563</v>
      </c>
      <c r="G15" s="35" t="n">
        <v>213563</v>
      </c>
    </row>
    <row r="16" customFormat="false" ht="17.25" hidden="false" customHeight="true" outlineLevel="0" collapsed="false">
      <c r="B16" s="12" t="n">
        <v>12</v>
      </c>
      <c r="C16" s="13" t="s">
        <v>27</v>
      </c>
      <c r="D16" s="14" t="n">
        <v>46183</v>
      </c>
      <c r="E16" s="16" t="n">
        <v>80000</v>
      </c>
      <c r="F16" s="19" t="n">
        <v>177387</v>
      </c>
      <c r="G16" s="35" t="n">
        <v>177387</v>
      </c>
    </row>
    <row r="17" customFormat="false" ht="17.25" hidden="false" customHeight="true" outlineLevel="0" collapsed="false">
      <c r="B17" s="12"/>
      <c r="C17" s="13" t="s">
        <v>28</v>
      </c>
      <c r="D17" s="14"/>
      <c r="E17" s="16" t="n">
        <v>0</v>
      </c>
      <c r="F17" s="19" t="n">
        <v>0</v>
      </c>
      <c r="G17" s="35" t="n">
        <v>0</v>
      </c>
    </row>
    <row r="18" customFormat="false" ht="17.25" hidden="false" customHeight="true" outlineLevel="0" collapsed="false">
      <c r="B18" s="12" t="n">
        <v>13</v>
      </c>
      <c r="C18" s="13" t="s">
        <v>29</v>
      </c>
      <c r="D18" s="14" t="n">
        <v>45950</v>
      </c>
      <c r="E18" s="16" t="n">
        <v>177387</v>
      </c>
      <c r="F18" s="19" t="n">
        <v>177387</v>
      </c>
      <c r="G18" s="35" t="n">
        <v>177387</v>
      </c>
    </row>
    <row r="19" customFormat="false" ht="17.25" hidden="false" customHeight="true" outlineLevel="0" collapsed="false">
      <c r="B19" s="12" t="n">
        <v>14</v>
      </c>
      <c r="C19" s="13" t="s">
        <v>30</v>
      </c>
      <c r="D19" s="14" t="n">
        <v>46183</v>
      </c>
      <c r="E19" s="16" t="n">
        <v>0</v>
      </c>
      <c r="F19" s="19" t="n">
        <v>177387</v>
      </c>
      <c r="G19" s="35" t="n">
        <v>177387</v>
      </c>
    </row>
    <row r="20" customFormat="false" ht="17.25" hidden="false" customHeight="true" outlineLevel="0" collapsed="false">
      <c r="B20" s="12" t="n">
        <v>15</v>
      </c>
      <c r="C20" s="13" t="s">
        <v>31</v>
      </c>
      <c r="D20" s="14" t="n">
        <v>46139</v>
      </c>
      <c r="E20" s="16" t="n">
        <v>135983</v>
      </c>
      <c r="F20" s="19" t="n">
        <v>135983</v>
      </c>
      <c r="G20" s="35" t="n">
        <v>135983</v>
      </c>
    </row>
    <row r="21" s="36" customFormat="true" ht="17.25" hidden="false" customHeight="true" outlineLevel="0" collapsed="false">
      <c r="B21" s="12" t="n">
        <v>16</v>
      </c>
      <c r="C21" s="13" t="s">
        <v>32</v>
      </c>
      <c r="D21" s="14" t="n">
        <v>45809</v>
      </c>
      <c r="E21" s="16" t="n">
        <v>135983</v>
      </c>
      <c r="F21" s="19" t="n">
        <v>135983</v>
      </c>
      <c r="G21" s="35" t="n">
        <v>135983</v>
      </c>
    </row>
    <row r="22" s="21" customFormat="true" ht="17.25" hidden="false" customHeight="true" outlineLevel="0" collapsed="false">
      <c r="B22" s="12" t="n">
        <v>17</v>
      </c>
      <c r="C22" s="13" t="s">
        <v>33</v>
      </c>
      <c r="D22" s="14" t="n">
        <v>46174</v>
      </c>
      <c r="E22" s="16" t="n">
        <v>0</v>
      </c>
      <c r="F22" s="19" t="n">
        <v>177387</v>
      </c>
      <c r="G22" s="35" t="n">
        <v>177387</v>
      </c>
    </row>
    <row r="23" customFormat="false" ht="17.25" hidden="false" customHeight="true" outlineLevel="0" collapsed="false">
      <c r="B23" s="12" t="n">
        <v>18</v>
      </c>
      <c r="C23" s="13" t="s">
        <v>34</v>
      </c>
      <c r="D23" s="14" t="n">
        <v>45924</v>
      </c>
      <c r="E23" s="16" t="n">
        <v>0</v>
      </c>
      <c r="F23" s="19" t="n">
        <v>0</v>
      </c>
      <c r="G23" s="35" t="n">
        <v>177387</v>
      </c>
    </row>
    <row r="24" customFormat="false" ht="17.25" hidden="false" customHeight="true" outlineLevel="0" collapsed="false">
      <c r="B24" s="12" t="n">
        <v>19</v>
      </c>
      <c r="C24" s="13" t="s">
        <v>35</v>
      </c>
      <c r="D24" s="14" t="n">
        <v>46216</v>
      </c>
      <c r="E24" s="16" t="n">
        <v>135983</v>
      </c>
      <c r="F24" s="19" t="n">
        <v>225778</v>
      </c>
      <c r="G24" s="35" t="n">
        <v>225778</v>
      </c>
    </row>
    <row r="25" customFormat="false" ht="17.25" hidden="false" customHeight="true" outlineLevel="0" collapsed="false">
      <c r="B25" s="12" t="n">
        <v>20</v>
      </c>
      <c r="C25" s="13" t="s">
        <v>10</v>
      </c>
      <c r="D25" s="14" t="n">
        <v>46000</v>
      </c>
      <c r="E25" s="16" t="n">
        <v>177387</v>
      </c>
      <c r="F25" s="19" t="n">
        <v>177387</v>
      </c>
      <c r="G25" s="35" t="n">
        <v>177387</v>
      </c>
    </row>
    <row r="26" customFormat="false" ht="17.25" hidden="false" customHeight="true" outlineLevel="0" collapsed="false">
      <c r="B26" s="12" t="n">
        <v>21</v>
      </c>
      <c r="C26" s="37" t="s">
        <v>36</v>
      </c>
      <c r="D26" s="14" t="n">
        <v>46283</v>
      </c>
      <c r="E26" s="16" t="n">
        <v>0</v>
      </c>
      <c r="F26" s="19" t="n">
        <v>0</v>
      </c>
      <c r="G26" s="35" t="n">
        <v>81666</v>
      </c>
    </row>
    <row r="27" customFormat="false" ht="17.25" hidden="false" customHeight="true" outlineLevel="0" collapsed="false">
      <c r="B27" s="12" t="n">
        <v>22</v>
      </c>
      <c r="C27" s="13" t="s">
        <v>37</v>
      </c>
      <c r="D27" s="14" t="n">
        <v>46204</v>
      </c>
      <c r="E27" s="16" t="n">
        <v>231913</v>
      </c>
      <c r="F27" s="19" t="n">
        <v>231913</v>
      </c>
      <c r="G27" s="35" t="n">
        <v>213566</v>
      </c>
    </row>
    <row r="28" customFormat="false" ht="17.25" hidden="false" customHeight="true" outlineLevel="0" collapsed="false">
      <c r="B28" s="12" t="n">
        <v>23</v>
      </c>
      <c r="C28" s="13" t="s">
        <v>38</v>
      </c>
      <c r="D28" s="38" t="s">
        <v>39</v>
      </c>
      <c r="E28" s="16" t="n">
        <v>0</v>
      </c>
      <c r="F28" s="19" t="n">
        <v>177387</v>
      </c>
      <c r="G28" s="35" t="n">
        <v>177387</v>
      </c>
    </row>
    <row r="29" customFormat="false" ht="17.25" hidden="false" customHeight="true" outlineLevel="0" collapsed="false">
      <c r="B29" s="12" t="n">
        <v>24</v>
      </c>
      <c r="C29" s="13" t="s">
        <v>40</v>
      </c>
      <c r="D29" s="14" t="n">
        <v>45778</v>
      </c>
      <c r="E29" s="16" t="n">
        <v>165340</v>
      </c>
      <c r="F29" s="19" t="n">
        <v>165340</v>
      </c>
      <c r="G29" s="35" t="n">
        <v>165340</v>
      </c>
    </row>
    <row r="30" customFormat="false" ht="17.25" hidden="false" customHeight="true" outlineLevel="0" collapsed="false">
      <c r="B30" s="12" t="n">
        <v>25</v>
      </c>
      <c r="C30" s="13" t="s">
        <v>41</v>
      </c>
      <c r="D30" s="14" t="n">
        <v>46183</v>
      </c>
      <c r="E30" s="16" t="n">
        <v>80000</v>
      </c>
      <c r="F30" s="19" t="n">
        <v>177387</v>
      </c>
      <c r="G30" s="35" t="n">
        <v>177387</v>
      </c>
    </row>
    <row r="31" customFormat="false" ht="17.25" hidden="false" customHeight="true" outlineLevel="0" collapsed="false">
      <c r="B31" s="12"/>
      <c r="C31" s="13" t="s">
        <v>13</v>
      </c>
      <c r="D31" s="14"/>
      <c r="E31" s="16" t="n">
        <v>346515</v>
      </c>
      <c r="F31" s="19" t="n">
        <v>346515</v>
      </c>
      <c r="G31" s="35" t="n">
        <v>346515</v>
      </c>
    </row>
    <row r="32" s="21" customFormat="true" ht="17.25" hidden="false" customHeight="true" outlineLevel="0" collapsed="false">
      <c r="B32" s="12" t="n">
        <v>26</v>
      </c>
      <c r="C32" s="13" t="s">
        <v>42</v>
      </c>
      <c r="D32" s="14" t="n">
        <v>45965</v>
      </c>
      <c r="E32" s="16" t="n">
        <v>0</v>
      </c>
      <c r="F32" s="19" t="n">
        <v>165340</v>
      </c>
      <c r="G32" s="35" t="n">
        <v>80000</v>
      </c>
    </row>
    <row r="33" customFormat="false" ht="17.25" hidden="false" customHeight="true" outlineLevel="0" collapsed="false">
      <c r="B33" s="12" t="n">
        <v>27</v>
      </c>
      <c r="C33" s="13" t="s">
        <v>14</v>
      </c>
      <c r="D33" s="14" t="n">
        <v>46092</v>
      </c>
      <c r="E33" s="16" t="n">
        <v>165340</v>
      </c>
      <c r="F33" s="19" t="n">
        <v>225778</v>
      </c>
      <c r="G33" s="35" t="n">
        <v>225778</v>
      </c>
    </row>
    <row r="34" customFormat="false" ht="17.25" hidden="false" customHeight="true" outlineLevel="0" collapsed="false">
      <c r="B34" s="12"/>
      <c r="C34" s="13" t="s">
        <v>43</v>
      </c>
      <c r="D34" s="14"/>
      <c r="E34" s="16" t="n">
        <v>195448</v>
      </c>
      <c r="F34" s="19" t="n">
        <v>0</v>
      </c>
      <c r="G34" s="35" t="n">
        <v>0</v>
      </c>
    </row>
    <row r="35" customFormat="false" ht="17.25" hidden="false" customHeight="true" outlineLevel="0" collapsed="false">
      <c r="B35" s="12" t="n">
        <v>28</v>
      </c>
      <c r="C35" s="37" t="s">
        <v>44</v>
      </c>
      <c r="D35" s="14" t="n">
        <v>46275</v>
      </c>
      <c r="E35" s="16" t="n">
        <v>0</v>
      </c>
      <c r="F35" s="19" t="n">
        <v>0</v>
      </c>
      <c r="G35" s="35" t="n">
        <v>108397</v>
      </c>
    </row>
    <row r="36" customFormat="false" ht="17.25" hidden="false" customHeight="true" outlineLevel="0" collapsed="false">
      <c r="B36" s="12" t="n">
        <v>29</v>
      </c>
      <c r="C36" s="13" t="s">
        <v>45</v>
      </c>
      <c r="D36" s="14" t="n">
        <v>46216</v>
      </c>
      <c r="E36" s="16" t="n">
        <v>135983</v>
      </c>
      <c r="F36" s="19" t="n">
        <v>225778</v>
      </c>
      <c r="G36" s="35" t="n">
        <v>225778</v>
      </c>
    </row>
    <row r="37" customFormat="false" ht="17.25" hidden="false" customHeight="true" outlineLevel="0" collapsed="false">
      <c r="B37" s="12" t="n">
        <v>30</v>
      </c>
      <c r="C37" s="13" t="s">
        <v>11</v>
      </c>
      <c r="D37" s="14" t="n">
        <v>45778</v>
      </c>
      <c r="E37" s="16" t="n">
        <v>346515</v>
      </c>
      <c r="F37" s="19" t="n">
        <v>346515</v>
      </c>
      <c r="G37" s="35" t="n">
        <v>346515</v>
      </c>
    </row>
    <row r="38" customFormat="false" ht="17.25" hidden="false" customHeight="true" outlineLevel="0" collapsed="false">
      <c r="B38" s="12" t="n">
        <v>31</v>
      </c>
      <c r="C38" s="13" t="s">
        <v>46</v>
      </c>
      <c r="D38" s="14" t="n">
        <v>45962</v>
      </c>
      <c r="E38" s="16" t="n">
        <v>213563</v>
      </c>
      <c r="F38" s="19" t="n">
        <v>213563</v>
      </c>
      <c r="G38" s="35" t="n">
        <v>213563</v>
      </c>
    </row>
    <row r="39" customFormat="false" ht="17.25" hidden="false" customHeight="true" outlineLevel="0" collapsed="false">
      <c r="B39" s="12" t="n">
        <v>32</v>
      </c>
      <c r="C39" s="13" t="s">
        <v>47</v>
      </c>
      <c r="D39" s="14" t="n">
        <v>46252</v>
      </c>
      <c r="E39" s="16" t="n">
        <v>0</v>
      </c>
      <c r="F39" s="19" t="n">
        <v>0</v>
      </c>
      <c r="G39" s="35" t="n">
        <v>135983</v>
      </c>
    </row>
    <row r="40" customFormat="false" ht="17.25" hidden="false" customHeight="true" outlineLevel="0" collapsed="false">
      <c r="B40" s="12" t="n">
        <v>33</v>
      </c>
      <c r="C40" s="13" t="s">
        <v>48</v>
      </c>
      <c r="D40" s="14" t="n">
        <v>46023</v>
      </c>
      <c r="E40" s="16" t="n">
        <v>213563</v>
      </c>
      <c r="F40" s="19" t="n">
        <v>213563</v>
      </c>
      <c r="G40" s="35" t="n">
        <v>213566</v>
      </c>
    </row>
    <row r="41" customFormat="false" ht="17.25" hidden="false" customHeight="true" outlineLevel="0" collapsed="false">
      <c r="B41" s="12" t="n">
        <v>34</v>
      </c>
      <c r="C41" s="13" t="s">
        <v>49</v>
      </c>
      <c r="D41" s="14" t="n">
        <v>46220</v>
      </c>
      <c r="E41" s="16" t="n">
        <v>0</v>
      </c>
      <c r="F41" s="19" t="n">
        <v>195448</v>
      </c>
      <c r="G41" s="35" t="n">
        <v>256095</v>
      </c>
    </row>
    <row r="42" customFormat="false" ht="17.25" hidden="false" customHeight="true" outlineLevel="0" collapsed="false">
      <c r="B42" s="12" t="n">
        <v>35</v>
      </c>
      <c r="C42" s="13" t="s">
        <v>50</v>
      </c>
      <c r="D42" s="14" t="n">
        <v>46068</v>
      </c>
      <c r="E42" s="16" t="n">
        <v>135983</v>
      </c>
      <c r="F42" s="19" t="n">
        <v>135983</v>
      </c>
      <c r="G42" s="35" t="n">
        <v>135983</v>
      </c>
    </row>
    <row r="43" customFormat="false" ht="17.25" hidden="false" customHeight="true" outlineLevel="0" collapsed="false">
      <c r="B43" s="12" t="n">
        <v>36</v>
      </c>
      <c r="C43" s="13" t="s">
        <v>51</v>
      </c>
      <c r="D43" s="14" t="n">
        <v>46219</v>
      </c>
      <c r="E43" s="16"/>
      <c r="F43" s="19" t="n">
        <v>177387</v>
      </c>
      <c r="G43" s="35" t="n">
        <v>177387</v>
      </c>
    </row>
    <row r="44" customFormat="false" ht="17.25" hidden="false" customHeight="true" outlineLevel="0" collapsed="false">
      <c r="B44" s="12" t="n">
        <v>37</v>
      </c>
      <c r="C44" s="13" t="s">
        <v>52</v>
      </c>
      <c r="D44" s="14" t="n">
        <v>44562</v>
      </c>
      <c r="E44" s="16" t="n">
        <v>866830</v>
      </c>
      <c r="F44" s="19" t="n">
        <v>866830</v>
      </c>
      <c r="G44" s="35" t="n">
        <v>866830</v>
      </c>
    </row>
    <row r="45" customFormat="false" ht="17.25" hidden="false" customHeight="true" outlineLevel="0" collapsed="false">
      <c r="B45" s="12" t="n">
        <v>38</v>
      </c>
      <c r="C45" s="13" t="s">
        <v>53</v>
      </c>
      <c r="D45" s="14" t="n">
        <v>46213</v>
      </c>
      <c r="E45" s="16" t="n">
        <v>0</v>
      </c>
      <c r="F45" s="19" t="n">
        <v>177387</v>
      </c>
      <c r="G45" s="35" t="n">
        <v>177387</v>
      </c>
    </row>
    <row r="46" customFormat="false" ht="17.25" hidden="false" customHeight="true" outlineLevel="0" collapsed="false">
      <c r="B46" s="12" t="n">
        <v>39</v>
      </c>
      <c r="C46" s="13" t="s">
        <v>54</v>
      </c>
      <c r="D46" s="14" t="n">
        <v>46218</v>
      </c>
      <c r="E46" s="16" t="n">
        <v>80000</v>
      </c>
      <c r="F46" s="19" t="n">
        <v>177387</v>
      </c>
      <c r="G46" s="35" t="n">
        <v>177387</v>
      </c>
    </row>
    <row r="47" customFormat="false" ht="17.25" hidden="false" customHeight="true" outlineLevel="0" collapsed="false">
      <c r="B47" s="12" t="n">
        <v>40</v>
      </c>
      <c r="C47" s="13" t="s">
        <v>55</v>
      </c>
      <c r="D47" s="14" t="n">
        <v>46144</v>
      </c>
      <c r="E47" s="16" t="n">
        <v>108397</v>
      </c>
      <c r="F47" s="19" t="n">
        <v>108397</v>
      </c>
      <c r="G47" s="35" t="n">
        <v>108397</v>
      </c>
    </row>
    <row r="48" customFormat="false" ht="14.25" hidden="false" customHeight="false" outlineLevel="0" collapsed="false">
      <c r="B48" s="12" t="n">
        <v>41</v>
      </c>
      <c r="C48" s="13" t="s">
        <v>56</v>
      </c>
      <c r="D48" s="39"/>
      <c r="E48" s="16" t="n">
        <v>225778</v>
      </c>
      <c r="F48" s="19" t="n">
        <v>225778</v>
      </c>
      <c r="G48" s="35" t="n">
        <v>225778</v>
      </c>
    </row>
    <row r="49" customFormat="false" ht="17.25" hidden="false" customHeight="true" outlineLevel="0" collapsed="false">
      <c r="B49" s="12" t="n">
        <v>42</v>
      </c>
      <c r="C49" s="13" t="s">
        <v>57</v>
      </c>
      <c r="D49" s="14" t="n">
        <v>46011</v>
      </c>
      <c r="E49" s="16" t="n">
        <v>177387</v>
      </c>
      <c r="F49" s="19" t="n">
        <v>177387</v>
      </c>
      <c r="G49" s="35" t="n">
        <v>177387</v>
      </c>
    </row>
    <row r="50" customFormat="false" ht="17.25" hidden="false" customHeight="true" outlineLevel="0" collapsed="false">
      <c r="B50" s="12" t="n">
        <v>43</v>
      </c>
      <c r="C50" s="13" t="s">
        <v>58</v>
      </c>
      <c r="D50" s="14" t="n">
        <v>46183</v>
      </c>
      <c r="E50" s="16" t="n">
        <v>0</v>
      </c>
      <c r="F50" s="19" t="n">
        <v>177387</v>
      </c>
      <c r="G50" s="35" t="n">
        <v>177387</v>
      </c>
    </row>
    <row r="51" customFormat="false" ht="17.25" hidden="false" customHeight="true" outlineLevel="0" collapsed="false">
      <c r="B51" s="12" t="n">
        <v>44</v>
      </c>
      <c r="C51" s="13" t="s">
        <v>59</v>
      </c>
      <c r="D51" s="14" t="n">
        <v>45784</v>
      </c>
      <c r="E51" s="16" t="n">
        <v>108397</v>
      </c>
      <c r="F51" s="19" t="n">
        <v>108397</v>
      </c>
      <c r="G51" s="35" t="n">
        <v>108397</v>
      </c>
    </row>
    <row r="52" customFormat="false" ht="17.25" hidden="false" customHeight="true" outlineLevel="0" collapsed="false">
      <c r="B52" s="12" t="n">
        <v>45</v>
      </c>
      <c r="C52" s="13" t="s">
        <v>60</v>
      </c>
      <c r="D52" s="14" t="n">
        <v>46000</v>
      </c>
      <c r="E52" s="16" t="n">
        <v>177387</v>
      </c>
      <c r="F52" s="19" t="n">
        <v>177387</v>
      </c>
      <c r="G52" s="35" t="n">
        <v>177387</v>
      </c>
    </row>
    <row r="53" customFormat="false" ht="17.25" hidden="false" customHeight="true" outlineLevel="0" collapsed="false">
      <c r="B53" s="12" t="n">
        <v>46</v>
      </c>
      <c r="C53" s="13" t="s">
        <v>61</v>
      </c>
      <c r="D53" s="14" t="n">
        <v>46204</v>
      </c>
      <c r="E53" s="16" t="n">
        <v>0</v>
      </c>
      <c r="F53" s="19" t="n">
        <v>177387</v>
      </c>
      <c r="G53" s="35" t="n">
        <v>177387</v>
      </c>
    </row>
    <row r="54" customFormat="false" ht="17.25" hidden="false" customHeight="true" outlineLevel="0" collapsed="false">
      <c r="B54" s="12" t="n">
        <v>47</v>
      </c>
      <c r="C54" s="13" t="s">
        <v>62</v>
      </c>
      <c r="D54" s="14" t="n">
        <v>46088</v>
      </c>
      <c r="E54" s="16" t="n">
        <v>135983</v>
      </c>
      <c r="F54" s="19" t="n">
        <v>135983</v>
      </c>
      <c r="G54" s="35" t="n">
        <v>135983</v>
      </c>
    </row>
    <row r="55" customFormat="false" ht="17.25" hidden="false" customHeight="true" outlineLevel="0" collapsed="false">
      <c r="B55" s="12" t="n">
        <v>48</v>
      </c>
      <c r="C55" s="13" t="s">
        <v>63</v>
      </c>
      <c r="D55" s="14" t="n">
        <v>45766</v>
      </c>
      <c r="E55" s="16" t="n">
        <v>471355</v>
      </c>
      <c r="F55" s="19" t="n">
        <v>471355</v>
      </c>
      <c r="G55" s="35" t="n">
        <v>471355</v>
      </c>
    </row>
    <row r="56" customFormat="false" ht="17.25" hidden="false" customHeight="true" outlineLevel="0" collapsed="false">
      <c r="B56" s="12" t="n">
        <v>49</v>
      </c>
      <c r="C56" s="13" t="s">
        <v>64</v>
      </c>
      <c r="D56" s="14" t="n">
        <v>45778</v>
      </c>
      <c r="E56" s="16" t="n">
        <v>213563</v>
      </c>
      <c r="F56" s="19" t="n">
        <v>213563</v>
      </c>
      <c r="G56" s="35" t="n">
        <v>213563</v>
      </c>
    </row>
    <row r="57" customFormat="false" ht="17.25" hidden="false" customHeight="true" outlineLevel="0" collapsed="false">
      <c r="B57" s="12" t="n">
        <v>50</v>
      </c>
      <c r="C57" s="13" t="s">
        <v>7</v>
      </c>
      <c r="D57" s="14" t="n">
        <v>45778</v>
      </c>
      <c r="E57" s="16" t="n">
        <v>213563</v>
      </c>
      <c r="F57" s="19" t="n">
        <v>213563</v>
      </c>
      <c r="G57" s="35" t="n">
        <v>213563</v>
      </c>
    </row>
    <row r="58" customFormat="false" ht="17.25" hidden="false" customHeight="true" outlineLevel="0" collapsed="false">
      <c r="B58" s="12"/>
      <c r="C58" s="13" t="s">
        <v>65</v>
      </c>
      <c r="D58" s="14"/>
      <c r="E58" s="16" t="n">
        <v>0</v>
      </c>
      <c r="F58" s="19" t="n">
        <v>0</v>
      </c>
      <c r="G58" s="35" t="n">
        <v>108397</v>
      </c>
    </row>
    <row r="59" customFormat="false" ht="17.25" hidden="false" customHeight="true" outlineLevel="0" collapsed="false">
      <c r="B59" s="12" t="n">
        <v>51</v>
      </c>
      <c r="C59" s="13" t="s">
        <v>66</v>
      </c>
      <c r="D59" s="14" t="n">
        <v>45778</v>
      </c>
      <c r="E59" s="16" t="n">
        <v>213566</v>
      </c>
      <c r="F59" s="19" t="n">
        <v>213566</v>
      </c>
      <c r="G59" s="35" t="n">
        <v>177387</v>
      </c>
    </row>
    <row r="60" customFormat="false" ht="17.25" hidden="false" customHeight="true" outlineLevel="0" collapsed="false">
      <c r="B60" s="12" t="n">
        <v>52</v>
      </c>
      <c r="C60" s="13" t="s">
        <v>67</v>
      </c>
      <c r="D60" s="14" t="n">
        <v>46235</v>
      </c>
      <c r="E60" s="16" t="n">
        <v>0</v>
      </c>
      <c r="F60" s="19" t="n">
        <v>177387</v>
      </c>
      <c r="G60" s="35" t="n">
        <v>177387</v>
      </c>
    </row>
    <row r="61" customFormat="false" ht="17.25" hidden="false" customHeight="true" outlineLevel="0" collapsed="false">
      <c r="B61" s="12" t="n">
        <v>53</v>
      </c>
      <c r="C61" s="13" t="s">
        <v>68</v>
      </c>
      <c r="D61" s="14" t="n">
        <v>46175</v>
      </c>
      <c r="E61" s="16" t="n">
        <v>177387</v>
      </c>
      <c r="F61" s="19" t="n">
        <v>213566</v>
      </c>
      <c r="G61" s="35" t="n">
        <v>213566</v>
      </c>
    </row>
    <row r="62" customFormat="false" ht="17.25" hidden="false" customHeight="true" outlineLevel="0" collapsed="false">
      <c r="B62" s="12" t="n">
        <v>54</v>
      </c>
      <c r="C62" s="13" t="s">
        <v>69</v>
      </c>
      <c r="D62" s="14" t="n">
        <v>45901</v>
      </c>
      <c r="E62" s="16" t="n">
        <v>213566</v>
      </c>
      <c r="F62" s="19" t="n">
        <v>213566</v>
      </c>
      <c r="G62" s="35" t="n">
        <v>213566</v>
      </c>
    </row>
    <row r="63" customFormat="false" ht="17.25" hidden="false" customHeight="true" outlineLevel="0" collapsed="false">
      <c r="B63" s="12" t="n">
        <v>56</v>
      </c>
      <c r="C63" s="13" t="s">
        <v>70</v>
      </c>
      <c r="D63" s="14" t="n">
        <v>45802</v>
      </c>
      <c r="E63" s="16" t="n">
        <v>177387</v>
      </c>
      <c r="F63" s="19" t="n">
        <v>177387</v>
      </c>
      <c r="G63" s="35" t="n">
        <v>177387</v>
      </c>
    </row>
    <row r="64" customFormat="false" ht="17.25" hidden="false" customHeight="true" outlineLevel="0" collapsed="false">
      <c r="B64" s="12"/>
      <c r="C64" s="13" t="s">
        <v>70</v>
      </c>
      <c r="D64" s="14"/>
      <c r="E64" s="16" t="n">
        <v>0</v>
      </c>
      <c r="F64" s="19" t="n">
        <v>108397</v>
      </c>
      <c r="G64" s="35" t="n">
        <v>108397</v>
      </c>
    </row>
    <row r="65" customFormat="false" ht="17.25" hidden="false" customHeight="true" outlineLevel="0" collapsed="false">
      <c r="B65" s="12"/>
      <c r="C65" s="13" t="s">
        <v>71</v>
      </c>
      <c r="D65" s="14"/>
      <c r="E65" s="16" t="n">
        <v>0</v>
      </c>
      <c r="F65" s="19" t="n">
        <v>0</v>
      </c>
      <c r="G65" s="35" t="n">
        <v>177387</v>
      </c>
    </row>
    <row r="66" customFormat="false" ht="17.25" hidden="false" customHeight="true" outlineLevel="0" collapsed="false">
      <c r="B66" s="12" t="n">
        <v>57</v>
      </c>
      <c r="C66" s="13" t="s">
        <v>72</v>
      </c>
      <c r="D66" s="14" t="n">
        <v>45930</v>
      </c>
      <c r="E66" s="16" t="n">
        <v>471355</v>
      </c>
      <c r="F66" s="19" t="n">
        <v>471355</v>
      </c>
      <c r="G66" s="35" t="n">
        <v>471355</v>
      </c>
    </row>
    <row r="67" customFormat="false" ht="17.25" hidden="false" customHeight="true" outlineLevel="0" collapsed="false">
      <c r="B67" s="12" t="n">
        <v>58</v>
      </c>
      <c r="C67" s="13" t="s">
        <v>73</v>
      </c>
      <c r="D67" s="14" t="n">
        <v>45778</v>
      </c>
      <c r="E67" s="16" t="n">
        <v>231913</v>
      </c>
      <c r="F67" s="19" t="n">
        <v>231913</v>
      </c>
      <c r="G67" s="35" t="n">
        <v>231913</v>
      </c>
    </row>
    <row r="68" customFormat="false" ht="17.25" hidden="false" customHeight="true" outlineLevel="0" collapsed="false">
      <c r="B68" s="12" t="n">
        <v>59</v>
      </c>
      <c r="C68" s="13" t="s">
        <v>9</v>
      </c>
      <c r="D68" s="14" t="n">
        <v>45778</v>
      </c>
      <c r="E68" s="16" t="n">
        <v>213566</v>
      </c>
      <c r="F68" s="19" t="n">
        <v>213566</v>
      </c>
      <c r="G68" s="35" t="n">
        <v>213566</v>
      </c>
    </row>
    <row r="69" customFormat="false" ht="17.25" hidden="false" customHeight="true" outlineLevel="0" collapsed="false">
      <c r="B69" s="12" t="n">
        <v>60</v>
      </c>
      <c r="C69" s="13" t="s">
        <v>74</v>
      </c>
      <c r="D69" s="14" t="n">
        <v>45778</v>
      </c>
      <c r="E69" s="16" t="n">
        <v>213566</v>
      </c>
      <c r="F69" s="19" t="n">
        <v>213566</v>
      </c>
      <c r="G69" s="35" t="n">
        <v>213566</v>
      </c>
    </row>
    <row r="70" customFormat="false" ht="17.25" hidden="false" customHeight="true" outlineLevel="0" collapsed="false">
      <c r="B70" s="12" t="n">
        <v>61</v>
      </c>
      <c r="C70" s="13" t="s">
        <v>75</v>
      </c>
      <c r="D70" s="14" t="n">
        <v>45806</v>
      </c>
      <c r="E70" s="16" t="n">
        <v>135983</v>
      </c>
      <c r="F70" s="19" t="n">
        <v>135983</v>
      </c>
      <c r="G70" s="35" t="n">
        <v>135983</v>
      </c>
    </row>
    <row r="71" customFormat="false" ht="17.25" hidden="false" customHeight="true" outlineLevel="0" collapsed="false">
      <c r="B71" s="12" t="n">
        <v>62</v>
      </c>
      <c r="C71" s="13" t="s">
        <v>76</v>
      </c>
      <c r="D71" s="14" t="n">
        <v>46174</v>
      </c>
      <c r="E71" s="16" t="n">
        <v>213563</v>
      </c>
      <c r="F71" s="19" t="n">
        <v>213563</v>
      </c>
      <c r="G71" s="35" t="n">
        <v>213563</v>
      </c>
    </row>
    <row r="72" customFormat="false" ht="17.25" hidden="false" customHeight="true" outlineLevel="0" collapsed="false">
      <c r="B72" s="12" t="n">
        <v>63</v>
      </c>
      <c r="C72" s="13" t="s">
        <v>77</v>
      </c>
      <c r="D72" s="14" t="n">
        <v>45930</v>
      </c>
      <c r="E72" s="16" t="n">
        <v>165340</v>
      </c>
      <c r="F72" s="19" t="n">
        <v>165340</v>
      </c>
      <c r="G72" s="35" t="n">
        <v>165340</v>
      </c>
    </row>
    <row r="73" customFormat="false" ht="17.25" hidden="false" customHeight="true" outlineLevel="0" collapsed="false">
      <c r="B73" s="12" t="n">
        <v>64</v>
      </c>
      <c r="C73" s="13" t="s">
        <v>8</v>
      </c>
      <c r="D73" s="14" t="n">
        <v>45912</v>
      </c>
      <c r="E73" s="16" t="n">
        <v>213566</v>
      </c>
      <c r="F73" s="19" t="n">
        <v>213566</v>
      </c>
      <c r="G73" s="35" t="n">
        <v>213566</v>
      </c>
    </row>
    <row r="74" customFormat="false" ht="17.25" hidden="false" customHeight="true" outlineLevel="0" collapsed="false">
      <c r="B74" s="12" t="n">
        <v>65</v>
      </c>
      <c r="C74" s="13" t="s">
        <v>78</v>
      </c>
      <c r="D74" s="14" t="n">
        <v>46183</v>
      </c>
      <c r="E74" s="16" t="n">
        <v>80000</v>
      </c>
      <c r="F74" s="19" t="n">
        <v>177387</v>
      </c>
      <c r="G74" s="35" t="n">
        <v>177387</v>
      </c>
    </row>
    <row r="75" customFormat="false" ht="17.25" hidden="false" customHeight="true" outlineLevel="0" collapsed="false">
      <c r="B75" s="12" t="n">
        <v>66</v>
      </c>
      <c r="C75" s="13" t="s">
        <v>79</v>
      </c>
      <c r="D75" s="40" t="n">
        <v>46023</v>
      </c>
      <c r="E75" s="16" t="n">
        <v>135983</v>
      </c>
      <c r="F75" s="19" t="n">
        <v>135983</v>
      </c>
      <c r="G75" s="35" t="n">
        <v>177387</v>
      </c>
    </row>
    <row r="76" customFormat="false" ht="17.25" hidden="false" customHeight="true" outlineLevel="0" collapsed="false">
      <c r="B76" s="12" t="n">
        <v>67</v>
      </c>
      <c r="C76" s="13" t="s">
        <v>80</v>
      </c>
      <c r="D76" s="14" t="n">
        <v>46204</v>
      </c>
      <c r="E76" s="16" t="n">
        <v>0</v>
      </c>
      <c r="F76" s="19" t="n">
        <v>135983</v>
      </c>
      <c r="G76" s="35" t="n">
        <v>135983</v>
      </c>
    </row>
    <row r="77" customFormat="false" ht="17.25" hidden="false" customHeight="true" outlineLevel="0" collapsed="false">
      <c r="B77" s="12" t="n">
        <v>68</v>
      </c>
      <c r="C77" s="13" t="s">
        <v>81</v>
      </c>
      <c r="D77" s="14" t="n">
        <v>45778</v>
      </c>
      <c r="E77" s="16" t="n">
        <v>471355</v>
      </c>
      <c r="F77" s="19" t="n">
        <v>471355</v>
      </c>
      <c r="G77" s="35" t="n">
        <v>471355</v>
      </c>
    </row>
    <row r="78" customFormat="false" ht="17.25" hidden="false" customHeight="true" outlineLevel="0" collapsed="false">
      <c r="B78" s="12" t="n">
        <v>69</v>
      </c>
      <c r="C78" s="37" t="s">
        <v>82</v>
      </c>
      <c r="D78" s="14" t="n">
        <v>46289</v>
      </c>
      <c r="E78" s="16" t="n">
        <v>0</v>
      </c>
      <c r="F78" s="19" t="n">
        <v>0</v>
      </c>
      <c r="G78" s="35" t="n">
        <v>177387</v>
      </c>
    </row>
    <row r="79" customFormat="false" ht="17.25" hidden="false" customHeight="true" outlineLevel="0" collapsed="false">
      <c r="B79" s="12" t="n">
        <v>70</v>
      </c>
      <c r="C79" s="13" t="s">
        <v>83</v>
      </c>
      <c r="D79" s="14" t="n">
        <v>46023</v>
      </c>
      <c r="E79" s="16" t="n">
        <v>213566</v>
      </c>
      <c r="F79" s="19" t="n">
        <v>213566</v>
      </c>
      <c r="G79" s="35" t="n">
        <v>213566</v>
      </c>
    </row>
    <row r="80" customFormat="false" ht="17.25" hidden="false" customHeight="true" outlineLevel="0" collapsed="false">
      <c r="B80" s="12" t="n">
        <v>71</v>
      </c>
      <c r="C80" s="13" t="s">
        <v>84</v>
      </c>
      <c r="D80" s="14" t="n">
        <v>46235</v>
      </c>
      <c r="E80" s="16" t="n">
        <v>0</v>
      </c>
      <c r="F80" s="19" t="n">
        <v>177387</v>
      </c>
      <c r="G80" s="35" t="n">
        <v>177387</v>
      </c>
    </row>
    <row r="81" customFormat="false" ht="17.25" hidden="false" customHeight="true" outlineLevel="0" collapsed="false">
      <c r="B81" s="12" t="n">
        <v>72</v>
      </c>
      <c r="C81" s="13" t="s">
        <v>85</v>
      </c>
      <c r="D81" s="14" t="n">
        <v>46183</v>
      </c>
      <c r="E81" s="16" t="n">
        <v>80000</v>
      </c>
      <c r="F81" s="19" t="n">
        <v>177387</v>
      </c>
      <c r="G81" s="35" t="n">
        <v>177387</v>
      </c>
    </row>
    <row r="82" customFormat="false" ht="17.25" hidden="false" customHeight="true" outlineLevel="0" collapsed="false">
      <c r="B82" s="12" t="n">
        <v>73</v>
      </c>
      <c r="C82" s="37" t="s">
        <v>86</v>
      </c>
      <c r="D82" s="14" t="n">
        <v>46244</v>
      </c>
      <c r="E82" s="16" t="n">
        <v>250000</v>
      </c>
      <c r="F82" s="19" t="n">
        <v>250000</v>
      </c>
      <c r="G82" s="35" t="n">
        <v>250000</v>
      </c>
    </row>
    <row r="83" customFormat="false" ht="17.25" hidden="false" customHeight="true" outlineLevel="0" collapsed="false">
      <c r="B83" s="12" t="n">
        <v>74</v>
      </c>
      <c r="C83" s="13" t="s">
        <v>87</v>
      </c>
      <c r="D83" s="14" t="n">
        <v>46235</v>
      </c>
      <c r="E83" s="16" t="n">
        <v>0</v>
      </c>
      <c r="F83" s="19" t="n">
        <v>177387</v>
      </c>
      <c r="G83" s="35" t="n">
        <v>177387</v>
      </c>
    </row>
    <row r="84" customFormat="false" ht="17.25" hidden="false" customHeight="true" outlineLevel="0" collapsed="false">
      <c r="B84" s="12" t="n">
        <v>75</v>
      </c>
      <c r="C84" s="13" t="s">
        <v>88</v>
      </c>
      <c r="D84" s="14" t="n">
        <v>46174</v>
      </c>
      <c r="E84" s="16" t="n">
        <v>177387</v>
      </c>
      <c r="F84" s="19" t="n">
        <v>177387</v>
      </c>
      <c r="G84" s="35" t="n">
        <v>177387</v>
      </c>
    </row>
    <row r="85" customFormat="false" ht="17.25" hidden="false" customHeight="true" outlineLevel="0" collapsed="false">
      <c r="B85" s="12" t="n">
        <v>76</v>
      </c>
      <c r="C85" s="13" t="s">
        <v>89</v>
      </c>
      <c r="D85" s="14" t="n">
        <v>46249</v>
      </c>
      <c r="E85" s="16" t="n">
        <v>0</v>
      </c>
      <c r="F85" s="19" t="n">
        <v>165340</v>
      </c>
      <c r="G85" s="35" t="n">
        <v>225778</v>
      </c>
    </row>
    <row r="86" customFormat="false" ht="17.25" hidden="false" customHeight="true" outlineLevel="0" collapsed="false">
      <c r="B86" s="12" t="n">
        <v>77</v>
      </c>
      <c r="C86" s="37" t="s">
        <v>90</v>
      </c>
      <c r="D86" s="14" t="n">
        <v>46296</v>
      </c>
      <c r="E86" s="16" t="n">
        <v>0</v>
      </c>
      <c r="F86" s="19" t="n">
        <v>0</v>
      </c>
      <c r="G86" s="35" t="n">
        <v>0</v>
      </c>
    </row>
    <row r="87" customFormat="false" ht="17.25" hidden="false" customHeight="true" outlineLevel="0" collapsed="false">
      <c r="B87" s="12" t="n">
        <v>78</v>
      </c>
      <c r="C87" s="13" t="s">
        <v>91</v>
      </c>
      <c r="D87" s="14" t="n">
        <v>45901</v>
      </c>
      <c r="E87" s="16" t="n">
        <v>213566</v>
      </c>
      <c r="F87" s="19" t="n">
        <v>213566</v>
      </c>
      <c r="G87" s="35" t="n">
        <v>213566</v>
      </c>
    </row>
    <row r="88" customFormat="false" ht="17.25" hidden="false" customHeight="true" outlineLevel="0" collapsed="false">
      <c r="B88" s="12"/>
      <c r="C88" s="13" t="s">
        <v>92</v>
      </c>
      <c r="D88" s="14"/>
      <c r="E88" s="16" t="n">
        <v>135983</v>
      </c>
      <c r="F88" s="19" t="n">
        <v>0</v>
      </c>
      <c r="G88" s="35" t="n">
        <v>0</v>
      </c>
    </row>
    <row r="89" customFormat="false" ht="17.25" hidden="false" customHeight="true" outlineLevel="0" collapsed="false">
      <c r="B89" s="12"/>
      <c r="C89" s="13" t="s">
        <v>93</v>
      </c>
      <c r="D89" s="14"/>
      <c r="E89" s="16" t="n">
        <v>0</v>
      </c>
      <c r="F89" s="19" t="n">
        <v>0</v>
      </c>
      <c r="G89" s="35" t="n">
        <v>0</v>
      </c>
    </row>
    <row r="90" customFormat="false" ht="17.25" hidden="false" customHeight="true" outlineLevel="0" collapsed="false">
      <c r="B90" s="12" t="n">
        <v>79</v>
      </c>
      <c r="C90" s="13" t="s">
        <v>94</v>
      </c>
      <c r="D90" s="14" t="n">
        <v>45778</v>
      </c>
      <c r="E90" s="16" t="n">
        <v>231913</v>
      </c>
      <c r="F90" s="19" t="n">
        <v>231913</v>
      </c>
      <c r="G90" s="35" t="n">
        <v>231913</v>
      </c>
    </row>
    <row r="91" customFormat="false" ht="17.25" hidden="false" customHeight="true" outlineLevel="0" collapsed="false">
      <c r="B91" s="12" t="n">
        <v>80</v>
      </c>
      <c r="C91" s="13" t="s">
        <v>95</v>
      </c>
      <c r="D91" s="14" t="n">
        <v>46061</v>
      </c>
      <c r="E91" s="16" t="n">
        <v>177387</v>
      </c>
      <c r="F91" s="19" t="n">
        <v>213566</v>
      </c>
      <c r="G91" s="35" t="n">
        <v>213566</v>
      </c>
    </row>
    <row r="92" customFormat="false" ht="17.25" hidden="false" customHeight="true" outlineLevel="0" collapsed="false">
      <c r="B92" s="12" t="n">
        <v>81</v>
      </c>
      <c r="C92" s="13" t="s">
        <v>96</v>
      </c>
      <c r="D92" s="14" t="n">
        <v>46220</v>
      </c>
      <c r="E92" s="16" t="n">
        <v>195484</v>
      </c>
      <c r="F92" s="19" t="n">
        <v>195484</v>
      </c>
      <c r="G92" s="35" t="n">
        <v>195484</v>
      </c>
    </row>
    <row r="93" customFormat="false" ht="17.25" hidden="false" customHeight="true" outlineLevel="0" collapsed="false">
      <c r="B93" s="12" t="n">
        <v>82</v>
      </c>
      <c r="C93" s="13" t="s">
        <v>97</v>
      </c>
      <c r="D93" s="14" t="n">
        <v>46174</v>
      </c>
      <c r="E93" s="16" t="n">
        <v>0</v>
      </c>
      <c r="F93" s="19" t="n">
        <v>177387</v>
      </c>
      <c r="G93" s="35" t="n">
        <v>177387</v>
      </c>
    </row>
    <row r="94" customFormat="false" ht="17.25" hidden="false" customHeight="true" outlineLevel="0" collapsed="false">
      <c r="B94" s="12" t="n">
        <v>83</v>
      </c>
      <c r="C94" s="13" t="s">
        <v>98</v>
      </c>
      <c r="D94" s="14" t="n">
        <v>45784</v>
      </c>
      <c r="E94" s="16" t="n">
        <v>108397</v>
      </c>
      <c r="F94" s="19" t="n">
        <v>108397</v>
      </c>
      <c r="G94" s="35" t="n">
        <v>108397</v>
      </c>
    </row>
    <row r="95" customFormat="false" ht="17.25" hidden="false" customHeight="true" outlineLevel="0" collapsed="false">
      <c r="B95" s="12" t="n">
        <v>84</v>
      </c>
      <c r="C95" s="41" t="s">
        <v>99</v>
      </c>
      <c r="D95" s="14" t="n">
        <v>46183</v>
      </c>
      <c r="E95" s="16" t="n">
        <v>80000</v>
      </c>
      <c r="F95" s="19" t="n">
        <v>177387</v>
      </c>
      <c r="G95" s="35" t="n">
        <v>177387</v>
      </c>
    </row>
    <row r="96" customFormat="false" ht="17.25" hidden="false" customHeight="true" outlineLevel="0" collapsed="false">
      <c r="B96" s="12"/>
      <c r="C96" s="41" t="s">
        <v>100</v>
      </c>
      <c r="D96" s="14"/>
      <c r="E96" s="16" t="n">
        <v>231913</v>
      </c>
      <c r="F96" s="19" t="n">
        <v>231913</v>
      </c>
      <c r="G96" s="35" t="n">
        <v>231913</v>
      </c>
    </row>
    <row r="97" customFormat="false" ht="18" hidden="false" customHeight="true" outlineLevel="0" collapsed="false">
      <c r="B97" s="42" t="n">
        <v>85</v>
      </c>
      <c r="C97" s="43" t="s">
        <v>101</v>
      </c>
      <c r="D97" s="44" t="n">
        <v>45778</v>
      </c>
      <c r="E97" s="16" t="n">
        <v>0</v>
      </c>
      <c r="F97" s="19" t="n">
        <v>0</v>
      </c>
      <c r="G97" s="35" t="n">
        <v>0</v>
      </c>
    </row>
    <row r="98" customFormat="false" ht="21" hidden="false" customHeight="true" outlineLevel="0" collapsed="false">
      <c r="B98" s="30" t="s">
        <v>15</v>
      </c>
      <c r="C98" s="30"/>
      <c r="D98" s="30"/>
      <c r="E98" s="31" t="n">
        <f aca="false">SUM(E5:E97)</f>
        <v>12800636</v>
      </c>
      <c r="F98" s="45" t="n">
        <f aca="false">SUM(F5:F97)</f>
        <v>16646388</v>
      </c>
      <c r="G98" s="45" t="n">
        <f aca="false">SUM(G5:G97)</f>
        <v>17696056</v>
      </c>
    </row>
    <row r="99" customFormat="false" ht="21" hidden="false" customHeight="true" outlineLevel="0" collapsed="false">
      <c r="B99" s="32" t="s">
        <v>16</v>
      </c>
      <c r="C99" s="32"/>
      <c r="D99" s="32"/>
      <c r="E99" s="33" t="n">
        <f aca="false">SUM(E98:G98)</f>
        <v>47143080</v>
      </c>
      <c r="F99" s="33"/>
      <c r="G99" s="33"/>
    </row>
  </sheetData>
  <mergeCells count="6">
    <mergeCell ref="B2:G2"/>
    <mergeCell ref="B3:C3"/>
    <mergeCell ref="D3:G3"/>
    <mergeCell ref="B98:D98"/>
    <mergeCell ref="B99:D99"/>
    <mergeCell ref="E99:G9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102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107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6</v>
      </c>
      <c r="D7" s="55" t="n">
        <v>45881</v>
      </c>
      <c r="E7" s="56" t="n">
        <f aca="false">'Jan-fév-mars-avril-mai-juin'!E5</f>
        <v>165340</v>
      </c>
      <c r="F7" s="57" t="n">
        <f aca="false">MIN(ROUNDDOWN(N($E7)*Paramètres!$C$16,0),Paramètres!$D$16)</f>
        <v>33068</v>
      </c>
      <c r="G7" s="57" t="n">
        <f aca="false">MIN(ROUNDDOWN(N($E7)*Paramètres!$C$17,0),Paramètres!$D$17)</f>
        <v>8267</v>
      </c>
      <c r="H7" s="57" t="n">
        <f aca="false">MIN(ROUNDDOWN(N($E7)*Paramètres!$C$18,0),Paramètres!$D$18)</f>
        <v>8267</v>
      </c>
      <c r="I7" s="57" t="n">
        <f aca="false">N($E7)-(F7+G7+H7)</f>
        <v>115738</v>
      </c>
      <c r="J7" s="58" t="n">
        <v>0</v>
      </c>
      <c r="K7" s="59" t="str">
        <f aca="false">IF(I7&lt;Paramètres!$C$11,"Cadre inférieur","Cadre supérieur")</f>
        <v>Cadre inférieur</v>
      </c>
      <c r="L7" s="57" t="n">
        <f aca="false">MIN(F7,MIN(N($E7)*Paramètres!$C$16,Paramètres!$D$16))+MIN(G7,MIN(N($E7)*Paramètres!$C$17,Paramètres!$D$17))+MIN(H7,MIN(N($E7)*Paramètres!$C$18,Paramètres!$D$18))</f>
        <v>49602</v>
      </c>
      <c r="M7" s="57" t="n">
        <f aca="false">MIN(N($E7),Paramètres!$C$7)*Paramètres!$C$6</f>
        <v>9093.7</v>
      </c>
      <c r="N7" s="57" t="n">
        <f aca="false">MIN(M7,I7*Paramètres!$C$8)</f>
        <v>9093.7</v>
      </c>
      <c r="O7" s="57" t="n">
        <f aca="false">I7*IF(K7="Cadre supérieur",Paramètres!$C$10,Paramètres!$C$9)</f>
        <v>28934.5</v>
      </c>
      <c r="P7" s="57" t="n">
        <f aca="false">MAX(0,ROUNDDOWN(N($E7)-L7-N7-O7,-2))</f>
        <v>77700</v>
      </c>
      <c r="Q7" s="57" t="n">
        <f aca="false">SUMPRODUCT((P7&gt;Paramètres!$B$21:$B$27)*(P7-Paramètres!$B$21:$B$27)*Paramètres!$E$21:$E$27)</f>
        <v>6270.3</v>
      </c>
      <c r="R7" s="57" t="n">
        <f aca="false">Q7*INDEX(Paramètres!$C$31:$C$38,MIN(MAX(INT(N(J7)),0),7)+1)</f>
        <v>0</v>
      </c>
      <c r="S7" s="60" t="n">
        <f aca="false">ROUND(Q7-R7,0)</f>
        <v>6270</v>
      </c>
      <c r="T7" s="57" t="n">
        <f aca="false">ROUND(N($E7)*Paramètres!$C$13,0)</f>
        <v>4960</v>
      </c>
      <c r="U7" s="57" t="n">
        <f aca="false">ROUND(MAX(0,N($E7)-(Q7-R7)-M7)*Paramètres!$C$12,0)</f>
        <v>1500</v>
      </c>
      <c r="V7" s="60" t="n">
        <f aca="false">ROUND(N($E7)-M7-S7-U7,0)</f>
        <v>148476</v>
      </c>
    </row>
    <row r="8" customFormat="false" ht="17.25" hidden="false" customHeight="true" outlineLevel="0" collapsed="false">
      <c r="B8" s="53" t="n">
        <v>2</v>
      </c>
      <c r="C8" s="54" t="s">
        <v>7</v>
      </c>
      <c r="D8" s="55" t="n">
        <v>45778</v>
      </c>
      <c r="E8" s="56" t="n">
        <f aca="false">'Jan-fév-mars-avril-mai-juin'!E6</f>
        <v>0</v>
      </c>
      <c r="F8" s="57" t="n">
        <f aca="false">MIN(ROUNDDOWN(N($E8)*Paramètres!$C$16,0),Paramètres!$D$16)</f>
        <v>0</v>
      </c>
      <c r="G8" s="57" t="n">
        <f aca="false">MIN(ROUNDDOWN(N($E8)*Paramètres!$C$17,0),Paramètres!$D$17)</f>
        <v>0</v>
      </c>
      <c r="H8" s="57" t="n">
        <f aca="false">MIN(ROUNDDOWN(N($E8)*Paramètres!$C$18,0),Paramètres!$D$18)</f>
        <v>0</v>
      </c>
      <c r="I8" s="57" t="n">
        <f aca="false">N($E8)-(F8+G8+H8)</f>
        <v>0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0</v>
      </c>
      <c r="M8" s="57" t="n">
        <f aca="false">MIN(N($E8),Paramètres!$C$7)*Paramètres!$C$6</f>
        <v>0</v>
      </c>
      <c r="N8" s="57" t="n">
        <f aca="false">MIN(M8,I8*Paramètres!$C$8)</f>
        <v>0</v>
      </c>
      <c r="O8" s="57" t="n">
        <f aca="false">I8*IF(K8="Cadre supérieur",Paramètres!$C$10,Paramètres!$C$9)</f>
        <v>0</v>
      </c>
      <c r="P8" s="57" t="n">
        <f aca="false">MAX(0,ROUNDDOWN(N($E8)-L8-N8-O8,-2))</f>
        <v>0</v>
      </c>
      <c r="Q8" s="57" t="n">
        <f aca="false">SUMPRODUCT((P8&gt;Paramètres!$B$21:$B$27)*(P8-Paramètres!$B$21:$B$27)*Paramètres!$E$21:$E$27)</f>
        <v>0</v>
      </c>
      <c r="R8" s="57" t="n">
        <f aca="false">Q8*INDEX(Paramètres!$C$31:$C$38,MIN(MAX(INT(N(J8)),0),7)+1)</f>
        <v>0</v>
      </c>
      <c r="S8" s="60" t="n">
        <f aca="false">ROUND(Q8-R8,0)</f>
        <v>0</v>
      </c>
      <c r="T8" s="57" t="n">
        <f aca="false">ROUND(N($E8)*Paramètres!$C$13,0)</f>
        <v>0</v>
      </c>
      <c r="U8" s="57" t="n">
        <f aca="false">ROUND(MAX(0,N($E8)-(Q8-R8)-M8)*Paramètres!$C$12,0)</f>
        <v>0</v>
      </c>
      <c r="V8" s="60" t="n">
        <f aca="false">ROUND(N($E8)-M8-S8-U8,0)</f>
        <v>0</v>
      </c>
    </row>
    <row r="9" customFormat="false" ht="17.25" hidden="false" customHeight="true" outlineLevel="0" collapsed="false">
      <c r="B9" s="53" t="n">
        <v>3</v>
      </c>
      <c r="C9" s="54" t="s">
        <v>8</v>
      </c>
      <c r="D9" s="55" t="n">
        <v>45912</v>
      </c>
      <c r="E9" s="56" t="n">
        <f aca="false">'Jan-fév-mars-avril-mai-juin'!E7</f>
        <v>0</v>
      </c>
      <c r="F9" s="57" t="n">
        <f aca="false">MIN(ROUNDDOWN(N($E9)*Paramètres!$C$16,0),Paramètres!$D$16)</f>
        <v>0</v>
      </c>
      <c r="G9" s="57" t="n">
        <f aca="false">MIN(ROUNDDOWN(N($E9)*Paramètres!$C$17,0),Paramètres!$D$17)</f>
        <v>0</v>
      </c>
      <c r="H9" s="57" t="n">
        <f aca="false">MIN(ROUNDDOWN(N($E9)*Paramètres!$C$18,0),Paramètres!$D$18)</f>
        <v>0</v>
      </c>
      <c r="I9" s="57" t="n">
        <f aca="false">N($E9)-(F9+G9+H9)</f>
        <v>0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0</v>
      </c>
      <c r="M9" s="57" t="n">
        <f aca="false">MIN(N($E9),Paramètres!$C$7)*Paramètres!$C$6</f>
        <v>0</v>
      </c>
      <c r="N9" s="57" t="n">
        <f aca="false">MIN(M9,I9*Paramètres!$C$8)</f>
        <v>0</v>
      </c>
      <c r="O9" s="57" t="n">
        <f aca="false">I9*IF(K9="Cadre supérieur",Paramètres!$C$10,Paramètres!$C$9)</f>
        <v>0</v>
      </c>
      <c r="P9" s="57" t="n">
        <f aca="false">MAX(0,ROUNDDOWN(N($E9)-L9-N9-O9,-2))</f>
        <v>0</v>
      </c>
      <c r="Q9" s="57" t="n">
        <f aca="false">SUMPRODUCT((P9&gt;Paramètres!$B$21:$B$27)*(P9-Paramètres!$B$21:$B$27)*Paramètres!$E$21:$E$27)</f>
        <v>0</v>
      </c>
      <c r="R9" s="57" t="n">
        <f aca="false">Q9*INDEX(Paramètres!$C$31:$C$38,MIN(MAX(INT(N(J9)),0),7)+1)</f>
        <v>0</v>
      </c>
      <c r="S9" s="60" t="n">
        <f aca="false">ROUND(Q9-R9,0)</f>
        <v>0</v>
      </c>
      <c r="T9" s="57" t="n">
        <f aca="false">ROUND(N($E9)*Paramètres!$C$13,0)</f>
        <v>0</v>
      </c>
      <c r="U9" s="57" t="n">
        <f aca="false">ROUND(MAX(0,N($E9)-(Q9-R9)-M9)*Paramètres!$C$12,0)</f>
        <v>0</v>
      </c>
      <c r="V9" s="60" t="n">
        <f aca="false">ROUND(N($E9)-M9-S9-U9,0)</f>
        <v>0</v>
      </c>
    </row>
    <row r="10" customFormat="false" ht="17.25" hidden="false" customHeight="true" outlineLevel="0" collapsed="false">
      <c r="B10" s="53" t="n">
        <v>4</v>
      </c>
      <c r="C10" s="54" t="s">
        <v>9</v>
      </c>
      <c r="D10" s="55" t="n">
        <v>45778</v>
      </c>
      <c r="E10" s="56" t="n">
        <f aca="false">'Jan-fév-mars-avril-mai-juin'!E8</f>
        <v>0</v>
      </c>
      <c r="F10" s="57" t="n">
        <f aca="false">MIN(ROUNDDOWN(N($E10)*Paramètres!$C$16,0),Paramètres!$D$16)</f>
        <v>0</v>
      </c>
      <c r="G10" s="57" t="n">
        <f aca="false">MIN(ROUNDDOWN(N($E10)*Paramètres!$C$17,0),Paramètres!$D$17)</f>
        <v>0</v>
      </c>
      <c r="H10" s="57" t="n">
        <f aca="false">MIN(ROUNDDOWN(N($E10)*Paramètres!$C$18,0),Paramètres!$D$18)</f>
        <v>0</v>
      </c>
      <c r="I10" s="57" t="n">
        <f aca="false">N($E10)-(F10+G10+H10)</f>
        <v>0</v>
      </c>
      <c r="J10" s="58" t="n">
        <v>0</v>
      </c>
      <c r="K10" s="59" t="str">
        <f aca="false">IF(I10&lt;Paramètres!$C$11,"Cadre inférieur","Cadre supérieur")</f>
        <v>Cadre inférieur</v>
      </c>
      <c r="L10" s="57" t="n">
        <f aca="false">MIN(F10,MIN(N($E10)*Paramètres!$C$16,Paramètres!$D$16))+MIN(G10,MIN(N($E10)*Paramètres!$C$17,Paramètres!$D$17))+MIN(H10,MIN(N($E10)*Paramètres!$C$18,Paramètres!$D$18))</f>
        <v>0</v>
      </c>
      <c r="M10" s="57" t="n">
        <f aca="false">MIN(N($E10),Paramètres!$C$7)*Paramètres!$C$6</f>
        <v>0</v>
      </c>
      <c r="N10" s="57" t="n">
        <f aca="false">MIN(M10,I10*Paramètres!$C$8)</f>
        <v>0</v>
      </c>
      <c r="O10" s="57" t="n">
        <f aca="false">I10*IF(K10="Cadre supérieur",Paramètres!$C$10,Paramètres!$C$9)</f>
        <v>0</v>
      </c>
      <c r="P10" s="57" t="n">
        <f aca="false">MAX(0,ROUNDDOWN(N($E10)-L10-N10-O10,-2))</f>
        <v>0</v>
      </c>
      <c r="Q10" s="57" t="n">
        <f aca="false">SUMPRODUCT((P10&gt;Paramètres!$B$21:$B$27)*(P10-Paramètres!$B$21:$B$27)*Paramètres!$E$21:$E$27)</f>
        <v>0</v>
      </c>
      <c r="R10" s="57" t="n">
        <f aca="false">Q10*INDEX(Paramètres!$C$31:$C$38,MIN(MAX(INT(N(J10)),0),7)+1)</f>
        <v>0</v>
      </c>
      <c r="S10" s="60" t="n">
        <f aca="false">ROUND(Q10-R10,0)</f>
        <v>0</v>
      </c>
      <c r="T10" s="57" t="n">
        <f aca="false">ROUND(N($E10)*Paramètres!$C$13,0)</f>
        <v>0</v>
      </c>
      <c r="U10" s="57" t="n">
        <f aca="false">ROUND(MAX(0,N($E10)-(Q10-R10)-M10)*Paramètres!$C$12,0)</f>
        <v>0</v>
      </c>
      <c r="V10" s="60" t="n">
        <f aca="false">ROUND(N($E10)-M10-S10-U10,0)</f>
        <v>0</v>
      </c>
    </row>
    <row r="11" customFormat="false" ht="17.25" hidden="false" customHeight="true" outlineLevel="0" collapsed="false">
      <c r="B11" s="53" t="n">
        <v>5</v>
      </c>
      <c r="C11" s="54" t="s">
        <v>10</v>
      </c>
      <c r="D11" s="55" t="n">
        <v>46000</v>
      </c>
      <c r="E11" s="56" t="n">
        <f aca="false">'Jan-fév-mars-avril-mai-juin'!E9</f>
        <v>0</v>
      </c>
      <c r="F11" s="57" t="n">
        <f aca="false">MIN(ROUNDDOWN(N($E11)*Paramètres!$C$16,0),Paramètres!$D$16)</f>
        <v>0</v>
      </c>
      <c r="G11" s="57" t="n">
        <f aca="false">MIN(ROUNDDOWN(N($E11)*Paramètres!$C$17,0),Paramètres!$D$17)</f>
        <v>0</v>
      </c>
      <c r="H11" s="57" t="n">
        <f aca="false">MIN(ROUNDDOWN(N($E11)*Paramètres!$C$18,0),Paramètres!$D$18)</f>
        <v>0</v>
      </c>
      <c r="I11" s="57" t="n">
        <f aca="false">N($E11)-(F11+G11+H11)</f>
        <v>0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0</v>
      </c>
      <c r="M11" s="57" t="n">
        <f aca="false">MIN(N($E11),Paramètres!$C$7)*Paramètres!$C$6</f>
        <v>0</v>
      </c>
      <c r="N11" s="57" t="n">
        <f aca="false">MIN(M11,I11*Paramètres!$C$8)</f>
        <v>0</v>
      </c>
      <c r="O11" s="57" t="n">
        <f aca="false">I11*IF(K11="Cadre supérieur",Paramètres!$C$10,Paramètres!$C$9)</f>
        <v>0</v>
      </c>
      <c r="P11" s="57" t="n">
        <f aca="false">MAX(0,ROUNDDOWN(N($E11)-L11-N11-O11,-2))</f>
        <v>0</v>
      </c>
      <c r="Q11" s="57" t="n">
        <f aca="false">SUMPRODUCT((P11&gt;Paramètres!$B$21:$B$27)*(P11-Paramètres!$B$21:$B$27)*Paramètres!$E$21:$E$27)</f>
        <v>0</v>
      </c>
      <c r="R11" s="57" t="n">
        <f aca="false">Q11*INDEX(Paramètres!$C$31:$C$38,MIN(MAX(INT(N(J11)),0),7)+1)</f>
        <v>0</v>
      </c>
      <c r="S11" s="60" t="n">
        <f aca="false">ROUND(Q11-R11,0)</f>
        <v>0</v>
      </c>
      <c r="T11" s="57" t="n">
        <f aca="false">ROUND(N($E11)*Paramètres!$C$13,0)</f>
        <v>0</v>
      </c>
      <c r="U11" s="57" t="n">
        <f aca="false">ROUND(MAX(0,N($E11)-(Q11-R11)-M11)*Paramètres!$C$12,0)</f>
        <v>0</v>
      </c>
      <c r="V11" s="60" t="n">
        <f aca="false">ROUND(N($E11)-M11-S11-U11,0)</f>
        <v>0</v>
      </c>
    </row>
    <row r="12" customFormat="false" ht="17.25" hidden="false" customHeight="true" outlineLevel="0" collapsed="false">
      <c r="B12" s="53" t="n">
        <v>6</v>
      </c>
      <c r="C12" s="54" t="s">
        <v>11</v>
      </c>
      <c r="D12" s="55" t="n">
        <v>45778</v>
      </c>
      <c r="E12" s="56" t="n">
        <f aca="false">'Jan-fév-mars-avril-mai-juin'!E10</f>
        <v>165340</v>
      </c>
      <c r="F12" s="57" t="n">
        <f aca="false">MIN(ROUNDDOWN(N($E12)*Paramètres!$C$16,0),Paramètres!$D$16)</f>
        <v>33068</v>
      </c>
      <c r="G12" s="57" t="n">
        <f aca="false">MIN(ROUNDDOWN(N($E12)*Paramètres!$C$17,0),Paramètres!$D$17)</f>
        <v>8267</v>
      </c>
      <c r="H12" s="57" t="n">
        <f aca="false">MIN(ROUNDDOWN(N($E12)*Paramètres!$C$18,0),Paramètres!$D$18)</f>
        <v>8267</v>
      </c>
      <c r="I12" s="57" t="n">
        <f aca="false">N($E12)-(F12+G12+H12)</f>
        <v>115738</v>
      </c>
      <c r="J12" s="58" t="n">
        <v>0</v>
      </c>
      <c r="K12" s="59" t="str">
        <f aca="false">IF(I12&lt;Paramètres!$C$11,"Cadre inférieur","Cadre supérieur")</f>
        <v>Cadre inférieur</v>
      </c>
      <c r="L12" s="57" t="n">
        <f aca="false">MIN(F12,MIN(N($E12)*Paramètres!$C$16,Paramètres!$D$16))+MIN(G12,MIN(N($E12)*Paramètres!$C$17,Paramètres!$D$17))+MIN(H12,MIN(N($E12)*Paramètres!$C$18,Paramètres!$D$18))</f>
        <v>49602</v>
      </c>
      <c r="M12" s="57" t="n">
        <f aca="false">MIN(N($E12),Paramètres!$C$7)*Paramètres!$C$6</f>
        <v>9093.7</v>
      </c>
      <c r="N12" s="57" t="n">
        <f aca="false">MIN(M12,I12*Paramètres!$C$8)</f>
        <v>9093.7</v>
      </c>
      <c r="O12" s="57" t="n">
        <f aca="false">I12*IF(K12="Cadre supérieur",Paramètres!$C$10,Paramètres!$C$9)</f>
        <v>28934.5</v>
      </c>
      <c r="P12" s="57" t="n">
        <f aca="false">MAX(0,ROUNDDOWN(N($E12)-L12-N12-O12,-2))</f>
        <v>77700</v>
      </c>
      <c r="Q12" s="57" t="n">
        <f aca="false">SUMPRODUCT((P12&gt;Paramètres!$B$21:$B$27)*(P12-Paramètres!$B$21:$B$27)*Paramètres!$E$21:$E$27)</f>
        <v>6270.3</v>
      </c>
      <c r="R12" s="57" t="n">
        <f aca="false">Q12*INDEX(Paramètres!$C$31:$C$38,MIN(MAX(INT(N(J12)),0),7)+1)</f>
        <v>0</v>
      </c>
      <c r="S12" s="60" t="n">
        <f aca="false">ROUND(Q12-R12,0)</f>
        <v>6270</v>
      </c>
      <c r="T12" s="57" t="n">
        <f aca="false">ROUND(N($E12)*Paramètres!$C$13,0)</f>
        <v>4960</v>
      </c>
      <c r="U12" s="57" t="n">
        <f aca="false">ROUND(MAX(0,N($E12)-(Q12-R12)-M12)*Paramètres!$C$12,0)</f>
        <v>1500</v>
      </c>
      <c r="V12" s="60" t="n">
        <f aca="false">ROUND(N($E12)-M12-S12-U12,0)</f>
        <v>148476</v>
      </c>
    </row>
    <row r="13" customFormat="false" ht="17.25" hidden="false" customHeight="true" outlineLevel="0" collapsed="false">
      <c r="B13" s="53" t="n">
        <v>7</v>
      </c>
      <c r="C13" s="54" t="s">
        <v>12</v>
      </c>
      <c r="D13" s="55" t="n">
        <v>45677</v>
      </c>
      <c r="E13" s="56" t="n">
        <f aca="false">'Jan-fév-mars-avril-mai-juin'!E11</f>
        <v>286055</v>
      </c>
      <c r="F13" s="57" t="n">
        <f aca="false">MIN(ROUNDDOWN(N($E13)*Paramètres!$C$16,0),Paramètres!$D$16)</f>
        <v>57211</v>
      </c>
      <c r="G13" s="57" t="n">
        <f aca="false">MIN(ROUNDDOWN(N($E13)*Paramètres!$C$17,0),Paramètres!$D$17)</f>
        <v>14302</v>
      </c>
      <c r="H13" s="57" t="n">
        <f aca="false">MIN(ROUNDDOWN(N($E13)*Paramètres!$C$18,0),Paramètres!$D$18)</f>
        <v>14302</v>
      </c>
      <c r="I13" s="57" t="n">
        <f aca="false">N($E13)-(F13+G13+H13)</f>
        <v>200240</v>
      </c>
      <c r="J13" s="58" t="n">
        <v>0</v>
      </c>
      <c r="K13" s="59" t="str">
        <f aca="false">IF(I13&lt;Paramètres!$C$11,"Cadre inférieur","Cadre supérieur")</f>
        <v>Cadre supérieur</v>
      </c>
      <c r="L13" s="57" t="n">
        <f aca="false">MIN(F13,MIN(N($E13)*Paramètres!$C$16,Paramètres!$D$16))+MIN(G13,MIN(N($E13)*Paramètres!$C$17,Paramètres!$D$17))+MIN(H13,MIN(N($E13)*Paramètres!$C$18,Paramètres!$D$18))</f>
        <v>85815</v>
      </c>
      <c r="M13" s="57" t="n">
        <f aca="false">MIN(N($E13),Paramètres!$C$7)*Paramètres!$C$6</f>
        <v>15733.025</v>
      </c>
      <c r="N13" s="57" t="n">
        <f aca="false">MIN(M13,I13*Paramètres!$C$8)</f>
        <v>15733.025</v>
      </c>
      <c r="O13" s="57" t="n">
        <f aca="false">I13*IF(K13="Cadre supérieur",Paramètres!$C$10,Paramètres!$C$9)</f>
        <v>40048</v>
      </c>
      <c r="P13" s="57" t="n">
        <f aca="false">MAX(0,ROUNDDOWN(N($E13)-L13-N13-O13,-2))</f>
        <v>144400</v>
      </c>
      <c r="Q13" s="57" t="n">
        <f aca="false">SUMPRODUCT((P13&gt;Paramètres!$B$21:$B$27)*(P13-Paramètres!$B$21:$B$27)*Paramètres!$E$21:$E$27)</f>
        <v>17359.6</v>
      </c>
      <c r="R13" s="57" t="n">
        <f aca="false">Q13*INDEX(Paramètres!$C$31:$C$38,MIN(MAX(INT(N(J13)),0),7)+1)</f>
        <v>0</v>
      </c>
      <c r="S13" s="60" t="n">
        <f aca="false">ROUND(Q13-R13,0)</f>
        <v>17360</v>
      </c>
      <c r="T13" s="57" t="n">
        <f aca="false">ROUND(N($E13)*Paramètres!$C$13,0)</f>
        <v>8582</v>
      </c>
      <c r="U13" s="57" t="n">
        <f aca="false">ROUND(MAX(0,N($E13)-(Q13-R13)-M13)*Paramètres!$C$12,0)</f>
        <v>2530</v>
      </c>
      <c r="V13" s="60" t="n">
        <f aca="false">ROUND(N($E13)-M13-S13-U13,0)</f>
        <v>250432</v>
      </c>
    </row>
    <row r="14" customFormat="false" ht="17.25" hidden="false" customHeight="true" outlineLevel="0" collapsed="false">
      <c r="B14" s="53" t="n">
        <v>8</v>
      </c>
      <c r="C14" s="54" t="s">
        <v>13</v>
      </c>
      <c r="D14" s="55" t="n">
        <v>45677</v>
      </c>
      <c r="E14" s="56" t="n">
        <f aca="false">'Jan-fév-mars-avril-mai-juin'!E12</f>
        <v>286055</v>
      </c>
      <c r="F14" s="57" t="n">
        <f aca="false">MIN(ROUNDDOWN(N($E14)*Paramètres!$C$16,0),Paramètres!$D$16)</f>
        <v>57211</v>
      </c>
      <c r="G14" s="57" t="n">
        <f aca="false">MIN(ROUNDDOWN(N($E14)*Paramètres!$C$17,0),Paramètres!$D$17)</f>
        <v>14302</v>
      </c>
      <c r="H14" s="57" t="n">
        <f aca="false">MIN(ROUNDDOWN(N($E14)*Paramètres!$C$18,0),Paramètres!$D$18)</f>
        <v>14302</v>
      </c>
      <c r="I14" s="57" t="n">
        <f aca="false">N($E14)-(F14+G14+H14)</f>
        <v>200240</v>
      </c>
      <c r="J14" s="58" t="n">
        <v>0</v>
      </c>
      <c r="K14" s="59" t="str">
        <f aca="false">IF(I14&lt;Paramètres!$C$11,"Cadre inférieur","Cadre supérieur")</f>
        <v>Cadre supérieur</v>
      </c>
      <c r="L14" s="57" t="n">
        <f aca="false">MIN(F14,MIN(N($E14)*Paramètres!$C$16,Paramètres!$D$16))+MIN(G14,MIN(N($E14)*Paramètres!$C$17,Paramètres!$D$17))+MIN(H14,MIN(N($E14)*Paramètres!$C$18,Paramètres!$D$18))</f>
        <v>85815</v>
      </c>
      <c r="M14" s="57" t="n">
        <f aca="false">MIN(N($E14),Paramètres!$C$7)*Paramètres!$C$6</f>
        <v>15733.025</v>
      </c>
      <c r="N14" s="57" t="n">
        <f aca="false">MIN(M14,I14*Paramètres!$C$8)</f>
        <v>15733.025</v>
      </c>
      <c r="O14" s="57" t="n">
        <f aca="false">I14*IF(K14="Cadre supérieur",Paramètres!$C$10,Paramètres!$C$9)</f>
        <v>40048</v>
      </c>
      <c r="P14" s="57" t="n">
        <f aca="false">MAX(0,ROUNDDOWN(N($E14)-L14-N14-O14,-2))</f>
        <v>144400</v>
      </c>
      <c r="Q14" s="57" t="n">
        <f aca="false">SUMPRODUCT((P14&gt;Paramètres!$B$21:$B$27)*(P14-Paramètres!$B$21:$B$27)*Paramètres!$E$21:$E$27)</f>
        <v>17359.6</v>
      </c>
      <c r="R14" s="57" t="n">
        <f aca="false">Q14*INDEX(Paramètres!$C$31:$C$38,MIN(MAX(INT(N(J14)),0),7)+1)</f>
        <v>0</v>
      </c>
      <c r="S14" s="60" t="n">
        <f aca="false">ROUND(Q14-R14,0)</f>
        <v>17360</v>
      </c>
      <c r="T14" s="57" t="n">
        <f aca="false">ROUND(N($E14)*Paramètres!$C$13,0)</f>
        <v>8582</v>
      </c>
      <c r="U14" s="57" t="n">
        <f aca="false">ROUND(MAX(0,N($E14)-(Q14-R14)-M14)*Paramètres!$C$12,0)</f>
        <v>2530</v>
      </c>
      <c r="V14" s="60" t="n">
        <f aca="false">ROUND(N($E14)-M14-S14-U14,0)</f>
        <v>250432</v>
      </c>
    </row>
    <row r="15" customFormat="false" ht="17.25" hidden="false" customHeight="true" outlineLevel="0" collapsed="false">
      <c r="B15" s="53" t="n">
        <v>9</v>
      </c>
      <c r="C15" s="54" t="s">
        <v>14</v>
      </c>
      <c r="D15" s="55" t="n">
        <v>46092</v>
      </c>
      <c r="E15" s="56" t="n">
        <f aca="false">'Jan-fév-mars-avril-mai-juin'!E13</f>
        <v>0</v>
      </c>
      <c r="F15" s="57" t="n">
        <f aca="false">MIN(ROUNDDOWN(N($E15)*Paramètres!$C$16,0),Paramètres!$D$16)</f>
        <v>0</v>
      </c>
      <c r="G15" s="57" t="n">
        <f aca="false">MIN(ROUNDDOWN(N($E15)*Paramètres!$C$17,0),Paramètres!$D$17)</f>
        <v>0</v>
      </c>
      <c r="H15" s="57" t="n">
        <f aca="false">MIN(ROUNDDOWN(N($E15)*Paramètres!$C$18,0),Paramètres!$D$18)</f>
        <v>0</v>
      </c>
      <c r="I15" s="57" t="n">
        <f aca="false">N($E15)-(F15+G15+H15)</f>
        <v>0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0</v>
      </c>
      <c r="M15" s="57" t="n">
        <f aca="false">MIN(N($E15),Paramètres!$C$7)*Paramètres!$C$6</f>
        <v>0</v>
      </c>
      <c r="N15" s="57" t="n">
        <f aca="false">MIN(M15,I15*Paramètres!$C$8)</f>
        <v>0</v>
      </c>
      <c r="O15" s="57" t="n">
        <f aca="false">I15*IF(K15="Cadre supérieur",Paramètres!$C$10,Paramètres!$C$9)</f>
        <v>0</v>
      </c>
      <c r="P15" s="57" t="n">
        <f aca="false">MAX(0,ROUNDDOWN(N($E15)-L15-N15-O15,-2))</f>
        <v>0</v>
      </c>
      <c r="Q15" s="57" t="n">
        <f aca="false">SUMPRODUCT((P15&gt;Paramètres!$B$21:$B$27)*(P15-Paramètres!$B$21:$B$27)*Paramètres!$E$21:$E$27)</f>
        <v>0</v>
      </c>
      <c r="R15" s="57" t="n">
        <f aca="false">Q15*INDEX(Paramètres!$C$31:$C$38,MIN(MAX(INT(N(J15)),0),7)+1)</f>
        <v>0</v>
      </c>
      <c r="S15" s="60" t="n">
        <f aca="false">ROUND(Q15-R15,0)</f>
        <v>0</v>
      </c>
      <c r="T15" s="57" t="n">
        <f aca="false">ROUND(N($E15)*Paramètres!$C$13,0)</f>
        <v>0</v>
      </c>
      <c r="U15" s="57" t="n">
        <f aca="false">ROUND(MAX(0,N($E15)-(Q15-R15)-M15)*Paramètres!$C$12,0)</f>
        <v>0</v>
      </c>
      <c r="V15" s="60" t="n">
        <f aca="false">ROUND(N($E15)-M15-S15-U15,0)</f>
        <v>0</v>
      </c>
    </row>
    <row r="16" customFormat="false" ht="21.75" hidden="false" customHeight="true" outlineLevel="0" collapsed="false">
      <c r="B16" s="61" t="s">
        <v>15</v>
      </c>
      <c r="C16" s="61"/>
      <c r="D16" s="61"/>
      <c r="E16" s="62" t="n">
        <f aca="false">SUM(E7:E15)</f>
        <v>902790</v>
      </c>
      <c r="F16" s="62" t="n">
        <f aca="false">SUM(F7:F15)</f>
        <v>180558</v>
      </c>
      <c r="G16" s="62" t="n">
        <f aca="false">SUM(G7:G15)</f>
        <v>45138</v>
      </c>
      <c r="H16" s="62" t="n">
        <f aca="false">SUM(H7:H15)</f>
        <v>45138</v>
      </c>
      <c r="I16" s="62" t="n">
        <f aca="false">SUM(I7:I15)</f>
        <v>631956</v>
      </c>
      <c r="L16" s="62" t="n">
        <f aca="false">SUM(L7:L15)</f>
        <v>270834</v>
      </c>
      <c r="M16" s="62" t="n">
        <f aca="false">SUM(M7:M15)</f>
        <v>49653.45</v>
      </c>
      <c r="N16" s="62" t="n">
        <f aca="false">SUM(N7:N15)</f>
        <v>49653.45</v>
      </c>
      <c r="O16" s="62" t="n">
        <f aca="false">SUM(O7:O15)</f>
        <v>137965</v>
      </c>
      <c r="P16" s="62" t="n">
        <f aca="false">SUM(P7:P15)</f>
        <v>444200</v>
      </c>
      <c r="Q16" s="62" t="n">
        <f aca="false">SUM(Q7:Q15)</f>
        <v>47259.8</v>
      </c>
      <c r="R16" s="62" t="n">
        <f aca="false">SUM(R7:R15)</f>
        <v>0</v>
      </c>
      <c r="S16" s="63" t="n">
        <f aca="false">SUM(S7:S15)</f>
        <v>47260</v>
      </c>
      <c r="T16" s="62" t="n">
        <f aca="false">SUM(T7:T15)</f>
        <v>27084</v>
      </c>
      <c r="U16" s="62" t="n">
        <f aca="false">SUM(U7:U15)</f>
        <v>8060</v>
      </c>
      <c r="V16" s="63" t="n">
        <f aca="false">SUM(V7:V15)</f>
        <v>797816</v>
      </c>
    </row>
    <row r="17" customFormat="false" ht="21.75" hidden="false" customHeight="true" outlineLevel="0" collapsed="false">
      <c r="B17" s="64" t="s">
        <v>125</v>
      </c>
      <c r="C17" s="64"/>
      <c r="D17" s="64"/>
      <c r="E17" s="65" t="n">
        <f aca="false">E16</f>
        <v>902790</v>
      </c>
      <c r="S17" s="66" t="n">
        <f aca="false">S16</f>
        <v>47260</v>
      </c>
      <c r="T17" s="65" t="n">
        <f aca="false">T16</f>
        <v>27084</v>
      </c>
      <c r="U17" s="65" t="n">
        <f aca="false">U16</f>
        <v>8060</v>
      </c>
      <c r="V17" s="66" t="n">
        <f aca="false">V16</f>
        <v>797816</v>
      </c>
    </row>
    <row r="19" customFormat="false" ht="15" hidden="false" customHeight="false" outlineLevel="0" collapsed="false">
      <c r="C19" s="67" t="s">
        <v>126</v>
      </c>
    </row>
    <row r="20" customFormat="false" ht="15" hidden="false" customHeight="false" outlineLevel="0" collapsed="false">
      <c r="C20" s="68" t="s">
        <v>127</v>
      </c>
    </row>
    <row r="21" customFormat="false" ht="15" hidden="false" customHeight="false" outlineLevel="0" collapsed="false">
      <c r="C21" s="68" t="s">
        <v>128</v>
      </c>
    </row>
    <row r="22" customFormat="false" ht="15" hidden="false" customHeight="false" outlineLevel="0" collapsed="false">
      <c r="C22" s="68" t="s">
        <v>129</v>
      </c>
    </row>
    <row r="23" customFormat="false" ht="15" hidden="false" customHeight="false" outlineLevel="0" collapsed="false">
      <c r="C23" s="68" t="s">
        <v>130</v>
      </c>
    </row>
    <row r="24" customFormat="false" ht="15" hidden="false" customHeight="false" outlineLevel="0" collapsed="false">
      <c r="C24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132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133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6</v>
      </c>
      <c r="D7" s="55" t="n">
        <v>45881</v>
      </c>
      <c r="E7" s="56" t="n">
        <f aca="false">'Jan-fév-mars-avril-mai-juin'!F5</f>
        <v>225778</v>
      </c>
      <c r="F7" s="57" t="n">
        <f aca="false">MIN(ROUNDDOWN(N($E7)*Paramètres!$C$16,0),Paramètres!$D$16)</f>
        <v>45155</v>
      </c>
      <c r="G7" s="57" t="n">
        <f aca="false">MIN(ROUNDDOWN(N($E7)*Paramètres!$C$17,0),Paramètres!$D$17)</f>
        <v>11288</v>
      </c>
      <c r="H7" s="57" t="n">
        <f aca="false">MIN(ROUNDDOWN(N($E7)*Paramètres!$C$18,0),Paramètres!$D$18)</f>
        <v>11288</v>
      </c>
      <c r="I7" s="57" t="n">
        <f aca="false">N($E7)-(F7+G7+H7)</f>
        <v>158047</v>
      </c>
      <c r="J7" s="58" t="n">
        <v>0</v>
      </c>
      <c r="K7" s="59" t="str">
        <f aca="false">IF(I7&lt;Paramètres!$C$11,"Cadre inférieur","Cadre supérieur")</f>
        <v>Cadre supérieur</v>
      </c>
      <c r="L7" s="57" t="n">
        <f aca="false">MIN(F7,MIN(N($E7)*Paramètres!$C$16,Paramètres!$D$16))+MIN(G7,MIN(N($E7)*Paramètres!$C$17,Paramètres!$D$17))+MIN(H7,MIN(N($E7)*Paramètres!$C$18,Paramètres!$D$18))</f>
        <v>67731</v>
      </c>
      <c r="M7" s="57" t="n">
        <f aca="false">MIN(N($E7),Paramètres!$C$7)*Paramètres!$C$6</f>
        <v>12417.79</v>
      </c>
      <c r="N7" s="57" t="n">
        <f aca="false">MIN(M7,I7*Paramètres!$C$8)</f>
        <v>12417.79</v>
      </c>
      <c r="O7" s="57" t="n">
        <f aca="false">I7*IF(K7="Cadre supérieur",Paramètres!$C$10,Paramètres!$C$9)</f>
        <v>31609.4</v>
      </c>
      <c r="P7" s="57" t="n">
        <f aca="false">MAX(0,ROUNDDOWN(N($E7)-L7-N7-O7,-2))</f>
        <v>114000</v>
      </c>
      <c r="Q7" s="57" t="n">
        <f aca="false">SUMPRODUCT((P7&gt;Paramètres!$B$21:$B$27)*(P7-Paramètres!$B$21:$B$27)*Paramètres!$E$21:$E$27)</f>
        <v>11928</v>
      </c>
      <c r="R7" s="57" t="n">
        <f aca="false">Q7*INDEX(Paramètres!$C$31:$C$38,MIN(MAX(INT(N(J7)),0),7)+1)</f>
        <v>0</v>
      </c>
      <c r="S7" s="60" t="n">
        <f aca="false">ROUND(Q7-R7,0)</f>
        <v>11928</v>
      </c>
      <c r="T7" s="57" t="n">
        <f aca="false">ROUND(N($E7)*Paramètres!$C$13,0)</f>
        <v>6773</v>
      </c>
      <c r="U7" s="57" t="n">
        <f aca="false">ROUND(MAX(0,N($E7)-(Q7-R7)-M7)*Paramètres!$C$12,0)</f>
        <v>2014</v>
      </c>
      <c r="V7" s="60" t="n">
        <f aca="false">ROUND(N($E7)-M7-S7-U7,0)</f>
        <v>199418</v>
      </c>
    </row>
    <row r="8" customFormat="false" ht="17.25" hidden="false" customHeight="true" outlineLevel="0" collapsed="false">
      <c r="B8" s="53" t="n">
        <v>2</v>
      </c>
      <c r="C8" s="54" t="s">
        <v>7</v>
      </c>
      <c r="D8" s="55" t="n">
        <v>45778</v>
      </c>
      <c r="E8" s="56" t="n">
        <f aca="false">'Jan-fév-mars-avril-mai-juin'!F6</f>
        <v>0</v>
      </c>
      <c r="F8" s="57" t="n">
        <f aca="false">MIN(ROUNDDOWN(N($E8)*Paramètres!$C$16,0),Paramètres!$D$16)</f>
        <v>0</v>
      </c>
      <c r="G8" s="57" t="n">
        <f aca="false">MIN(ROUNDDOWN(N($E8)*Paramètres!$C$17,0),Paramètres!$D$17)</f>
        <v>0</v>
      </c>
      <c r="H8" s="57" t="n">
        <f aca="false">MIN(ROUNDDOWN(N($E8)*Paramètres!$C$18,0),Paramètres!$D$18)</f>
        <v>0</v>
      </c>
      <c r="I8" s="57" t="n">
        <f aca="false">N($E8)-(F8+G8+H8)</f>
        <v>0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0</v>
      </c>
      <c r="M8" s="57" t="n">
        <f aca="false">MIN(N($E8),Paramètres!$C$7)*Paramètres!$C$6</f>
        <v>0</v>
      </c>
      <c r="N8" s="57" t="n">
        <f aca="false">MIN(M8,I8*Paramètres!$C$8)</f>
        <v>0</v>
      </c>
      <c r="O8" s="57" t="n">
        <f aca="false">I8*IF(K8="Cadre supérieur",Paramètres!$C$10,Paramètres!$C$9)</f>
        <v>0</v>
      </c>
      <c r="P8" s="57" t="n">
        <f aca="false">MAX(0,ROUNDDOWN(N($E8)-L8-N8-O8,-2))</f>
        <v>0</v>
      </c>
      <c r="Q8" s="57" t="n">
        <f aca="false">SUMPRODUCT((P8&gt;Paramètres!$B$21:$B$27)*(P8-Paramètres!$B$21:$B$27)*Paramètres!$E$21:$E$27)</f>
        <v>0</v>
      </c>
      <c r="R8" s="57" t="n">
        <f aca="false">Q8*INDEX(Paramètres!$C$31:$C$38,MIN(MAX(INT(N(J8)),0),7)+1)</f>
        <v>0</v>
      </c>
      <c r="S8" s="60" t="n">
        <f aca="false">ROUND(Q8-R8,0)</f>
        <v>0</v>
      </c>
      <c r="T8" s="57" t="n">
        <f aca="false">ROUND(N($E8)*Paramètres!$C$13,0)</f>
        <v>0</v>
      </c>
      <c r="U8" s="57" t="n">
        <f aca="false">ROUND(MAX(0,N($E8)-(Q8-R8)-M8)*Paramètres!$C$12,0)</f>
        <v>0</v>
      </c>
      <c r="V8" s="60" t="n">
        <f aca="false">ROUND(N($E8)-M8-S8-U8,0)</f>
        <v>0</v>
      </c>
    </row>
    <row r="9" customFormat="false" ht="17.25" hidden="false" customHeight="true" outlineLevel="0" collapsed="false">
      <c r="B9" s="53" t="n">
        <v>3</v>
      </c>
      <c r="C9" s="54" t="s">
        <v>8</v>
      </c>
      <c r="D9" s="55" t="n">
        <v>45912</v>
      </c>
      <c r="E9" s="56" t="n">
        <f aca="false">'Jan-fév-mars-avril-mai-juin'!F7</f>
        <v>0</v>
      </c>
      <c r="F9" s="57" t="n">
        <f aca="false">MIN(ROUNDDOWN(N($E9)*Paramètres!$C$16,0),Paramètres!$D$16)</f>
        <v>0</v>
      </c>
      <c r="G9" s="57" t="n">
        <f aca="false">MIN(ROUNDDOWN(N($E9)*Paramètres!$C$17,0),Paramètres!$D$17)</f>
        <v>0</v>
      </c>
      <c r="H9" s="57" t="n">
        <f aca="false">MIN(ROUNDDOWN(N($E9)*Paramètres!$C$18,0),Paramètres!$D$18)</f>
        <v>0</v>
      </c>
      <c r="I9" s="57" t="n">
        <f aca="false">N($E9)-(F9+G9+H9)</f>
        <v>0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0</v>
      </c>
      <c r="M9" s="57" t="n">
        <f aca="false">MIN(N($E9),Paramètres!$C$7)*Paramètres!$C$6</f>
        <v>0</v>
      </c>
      <c r="N9" s="57" t="n">
        <f aca="false">MIN(M9,I9*Paramètres!$C$8)</f>
        <v>0</v>
      </c>
      <c r="O9" s="57" t="n">
        <f aca="false">I9*IF(K9="Cadre supérieur",Paramètres!$C$10,Paramètres!$C$9)</f>
        <v>0</v>
      </c>
      <c r="P9" s="57" t="n">
        <f aca="false">MAX(0,ROUNDDOWN(N($E9)-L9-N9-O9,-2))</f>
        <v>0</v>
      </c>
      <c r="Q9" s="57" t="n">
        <f aca="false">SUMPRODUCT((P9&gt;Paramètres!$B$21:$B$27)*(P9-Paramètres!$B$21:$B$27)*Paramètres!$E$21:$E$27)</f>
        <v>0</v>
      </c>
      <c r="R9" s="57" t="n">
        <f aca="false">Q9*INDEX(Paramètres!$C$31:$C$38,MIN(MAX(INT(N(J9)),0),7)+1)</f>
        <v>0</v>
      </c>
      <c r="S9" s="60" t="n">
        <f aca="false">ROUND(Q9-R9,0)</f>
        <v>0</v>
      </c>
      <c r="T9" s="57" t="n">
        <f aca="false">ROUND(N($E9)*Paramètres!$C$13,0)</f>
        <v>0</v>
      </c>
      <c r="U9" s="57" t="n">
        <f aca="false">ROUND(MAX(0,N($E9)-(Q9-R9)-M9)*Paramètres!$C$12,0)</f>
        <v>0</v>
      </c>
      <c r="V9" s="60" t="n">
        <f aca="false">ROUND(N($E9)-M9-S9-U9,0)</f>
        <v>0</v>
      </c>
    </row>
    <row r="10" customFormat="false" ht="17.25" hidden="false" customHeight="true" outlineLevel="0" collapsed="false">
      <c r="B10" s="53" t="n">
        <v>4</v>
      </c>
      <c r="C10" s="54" t="s">
        <v>9</v>
      </c>
      <c r="D10" s="55" t="n">
        <v>45778</v>
      </c>
      <c r="E10" s="56" t="n">
        <f aca="false">'Jan-fév-mars-avril-mai-juin'!F8</f>
        <v>0</v>
      </c>
      <c r="F10" s="57" t="n">
        <f aca="false">MIN(ROUNDDOWN(N($E10)*Paramètres!$C$16,0),Paramètres!$D$16)</f>
        <v>0</v>
      </c>
      <c r="G10" s="57" t="n">
        <f aca="false">MIN(ROUNDDOWN(N($E10)*Paramètres!$C$17,0),Paramètres!$D$17)</f>
        <v>0</v>
      </c>
      <c r="H10" s="57" t="n">
        <f aca="false">MIN(ROUNDDOWN(N($E10)*Paramètres!$C$18,0),Paramètres!$D$18)</f>
        <v>0</v>
      </c>
      <c r="I10" s="57" t="n">
        <f aca="false">N($E10)-(F10+G10+H10)</f>
        <v>0</v>
      </c>
      <c r="J10" s="58" t="n">
        <v>0</v>
      </c>
      <c r="K10" s="59" t="str">
        <f aca="false">IF(I10&lt;Paramètres!$C$11,"Cadre inférieur","Cadre supérieur")</f>
        <v>Cadre inférieur</v>
      </c>
      <c r="L10" s="57" t="n">
        <f aca="false">MIN(F10,MIN(N($E10)*Paramètres!$C$16,Paramètres!$D$16))+MIN(G10,MIN(N($E10)*Paramètres!$C$17,Paramètres!$D$17))+MIN(H10,MIN(N($E10)*Paramètres!$C$18,Paramètres!$D$18))</f>
        <v>0</v>
      </c>
      <c r="M10" s="57" t="n">
        <f aca="false">MIN(N($E10),Paramètres!$C$7)*Paramètres!$C$6</f>
        <v>0</v>
      </c>
      <c r="N10" s="57" t="n">
        <f aca="false">MIN(M10,I10*Paramètres!$C$8)</f>
        <v>0</v>
      </c>
      <c r="O10" s="57" t="n">
        <f aca="false">I10*IF(K10="Cadre supérieur",Paramètres!$C$10,Paramètres!$C$9)</f>
        <v>0</v>
      </c>
      <c r="P10" s="57" t="n">
        <f aca="false">MAX(0,ROUNDDOWN(N($E10)-L10-N10-O10,-2))</f>
        <v>0</v>
      </c>
      <c r="Q10" s="57" t="n">
        <f aca="false">SUMPRODUCT((P10&gt;Paramètres!$B$21:$B$27)*(P10-Paramètres!$B$21:$B$27)*Paramètres!$E$21:$E$27)</f>
        <v>0</v>
      </c>
      <c r="R10" s="57" t="n">
        <f aca="false">Q10*INDEX(Paramètres!$C$31:$C$38,MIN(MAX(INT(N(J10)),0),7)+1)</f>
        <v>0</v>
      </c>
      <c r="S10" s="60" t="n">
        <f aca="false">ROUND(Q10-R10,0)</f>
        <v>0</v>
      </c>
      <c r="T10" s="57" t="n">
        <f aca="false">ROUND(N($E10)*Paramètres!$C$13,0)</f>
        <v>0</v>
      </c>
      <c r="U10" s="57" t="n">
        <f aca="false">ROUND(MAX(0,N($E10)-(Q10-R10)-M10)*Paramètres!$C$12,0)</f>
        <v>0</v>
      </c>
      <c r="V10" s="60" t="n">
        <f aca="false">ROUND(N($E10)-M10-S10-U10,0)</f>
        <v>0</v>
      </c>
    </row>
    <row r="11" customFormat="false" ht="17.25" hidden="false" customHeight="true" outlineLevel="0" collapsed="false">
      <c r="B11" s="53" t="n">
        <v>5</v>
      </c>
      <c r="C11" s="54" t="s">
        <v>10</v>
      </c>
      <c r="D11" s="55" t="n">
        <v>46000</v>
      </c>
      <c r="E11" s="56" t="n">
        <f aca="false">'Jan-fév-mars-avril-mai-juin'!F9</f>
        <v>0</v>
      </c>
      <c r="F11" s="57" t="n">
        <f aca="false">MIN(ROUNDDOWN(N($E11)*Paramètres!$C$16,0),Paramètres!$D$16)</f>
        <v>0</v>
      </c>
      <c r="G11" s="57" t="n">
        <f aca="false">MIN(ROUNDDOWN(N($E11)*Paramètres!$C$17,0),Paramètres!$D$17)</f>
        <v>0</v>
      </c>
      <c r="H11" s="57" t="n">
        <f aca="false">MIN(ROUNDDOWN(N($E11)*Paramètres!$C$18,0),Paramètres!$D$18)</f>
        <v>0</v>
      </c>
      <c r="I11" s="57" t="n">
        <f aca="false">N($E11)-(F11+G11+H11)</f>
        <v>0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0</v>
      </c>
      <c r="M11" s="57" t="n">
        <f aca="false">MIN(N($E11),Paramètres!$C$7)*Paramètres!$C$6</f>
        <v>0</v>
      </c>
      <c r="N11" s="57" t="n">
        <f aca="false">MIN(M11,I11*Paramètres!$C$8)</f>
        <v>0</v>
      </c>
      <c r="O11" s="57" t="n">
        <f aca="false">I11*IF(K11="Cadre supérieur",Paramètres!$C$10,Paramètres!$C$9)</f>
        <v>0</v>
      </c>
      <c r="P11" s="57" t="n">
        <f aca="false">MAX(0,ROUNDDOWN(N($E11)-L11-N11-O11,-2))</f>
        <v>0</v>
      </c>
      <c r="Q11" s="57" t="n">
        <f aca="false">SUMPRODUCT((P11&gt;Paramètres!$B$21:$B$27)*(P11-Paramètres!$B$21:$B$27)*Paramètres!$E$21:$E$27)</f>
        <v>0</v>
      </c>
      <c r="R11" s="57" t="n">
        <f aca="false">Q11*INDEX(Paramètres!$C$31:$C$38,MIN(MAX(INT(N(J11)),0),7)+1)</f>
        <v>0</v>
      </c>
      <c r="S11" s="60" t="n">
        <f aca="false">ROUND(Q11-R11,0)</f>
        <v>0</v>
      </c>
      <c r="T11" s="57" t="n">
        <f aca="false">ROUND(N($E11)*Paramètres!$C$13,0)</f>
        <v>0</v>
      </c>
      <c r="U11" s="57" t="n">
        <f aca="false">ROUND(MAX(0,N($E11)-(Q11-R11)-M11)*Paramètres!$C$12,0)</f>
        <v>0</v>
      </c>
      <c r="V11" s="60" t="n">
        <f aca="false">ROUND(N($E11)-M11-S11-U11,0)</f>
        <v>0</v>
      </c>
    </row>
    <row r="12" customFormat="false" ht="17.25" hidden="false" customHeight="true" outlineLevel="0" collapsed="false">
      <c r="B12" s="53" t="n">
        <v>6</v>
      </c>
      <c r="C12" s="54" t="s">
        <v>11</v>
      </c>
      <c r="D12" s="55" t="n">
        <v>45778</v>
      </c>
      <c r="E12" s="56" t="n">
        <f aca="false">'Jan-fév-mars-avril-mai-juin'!F10</f>
        <v>225778</v>
      </c>
      <c r="F12" s="57" t="n">
        <f aca="false">MIN(ROUNDDOWN(N($E12)*Paramètres!$C$16,0),Paramètres!$D$16)</f>
        <v>45155</v>
      </c>
      <c r="G12" s="57" t="n">
        <f aca="false">MIN(ROUNDDOWN(N($E12)*Paramètres!$C$17,0),Paramètres!$D$17)</f>
        <v>11288</v>
      </c>
      <c r="H12" s="57" t="n">
        <f aca="false">MIN(ROUNDDOWN(N($E12)*Paramètres!$C$18,0),Paramètres!$D$18)</f>
        <v>11288</v>
      </c>
      <c r="I12" s="57" t="n">
        <f aca="false">N($E12)-(F12+G12+H12)</f>
        <v>158047</v>
      </c>
      <c r="J12" s="58" t="n">
        <v>0</v>
      </c>
      <c r="K12" s="59" t="str">
        <f aca="false">IF(I12&lt;Paramètres!$C$11,"Cadre inférieur","Cadre supérieur")</f>
        <v>Cadre supérieur</v>
      </c>
      <c r="L12" s="57" t="n">
        <f aca="false">MIN(F12,MIN(N($E12)*Paramètres!$C$16,Paramètres!$D$16))+MIN(G12,MIN(N($E12)*Paramètres!$C$17,Paramètres!$D$17))+MIN(H12,MIN(N($E12)*Paramètres!$C$18,Paramètres!$D$18))</f>
        <v>67731</v>
      </c>
      <c r="M12" s="57" t="n">
        <f aca="false">MIN(N($E12),Paramètres!$C$7)*Paramètres!$C$6</f>
        <v>12417.79</v>
      </c>
      <c r="N12" s="57" t="n">
        <f aca="false">MIN(M12,I12*Paramètres!$C$8)</f>
        <v>12417.79</v>
      </c>
      <c r="O12" s="57" t="n">
        <f aca="false">I12*IF(K12="Cadre supérieur",Paramètres!$C$10,Paramètres!$C$9)</f>
        <v>31609.4</v>
      </c>
      <c r="P12" s="57" t="n">
        <f aca="false">MAX(0,ROUNDDOWN(N($E12)-L12-N12-O12,-2))</f>
        <v>114000</v>
      </c>
      <c r="Q12" s="57" t="n">
        <f aca="false">SUMPRODUCT((P12&gt;Paramètres!$B$21:$B$27)*(P12-Paramètres!$B$21:$B$27)*Paramètres!$E$21:$E$27)</f>
        <v>11928</v>
      </c>
      <c r="R12" s="57" t="n">
        <f aca="false">Q12*INDEX(Paramètres!$C$31:$C$38,MIN(MAX(INT(N(J12)),0),7)+1)</f>
        <v>0</v>
      </c>
      <c r="S12" s="60" t="n">
        <f aca="false">ROUND(Q12-R12,0)</f>
        <v>11928</v>
      </c>
      <c r="T12" s="57" t="n">
        <f aca="false">ROUND(N($E12)*Paramètres!$C$13,0)</f>
        <v>6773</v>
      </c>
      <c r="U12" s="57" t="n">
        <f aca="false">ROUND(MAX(0,N($E12)-(Q12-R12)-M12)*Paramètres!$C$12,0)</f>
        <v>2014</v>
      </c>
      <c r="V12" s="60" t="n">
        <f aca="false">ROUND(N($E12)-M12-S12-U12,0)</f>
        <v>199418</v>
      </c>
    </row>
    <row r="13" customFormat="false" ht="17.25" hidden="false" customHeight="true" outlineLevel="0" collapsed="false">
      <c r="B13" s="53" t="n">
        <v>7</v>
      </c>
      <c r="C13" s="54" t="s">
        <v>12</v>
      </c>
      <c r="D13" s="55" t="n">
        <v>45677</v>
      </c>
      <c r="E13" s="56" t="n">
        <f aca="false">'Jan-fév-mars-avril-mai-juin'!F11</f>
        <v>286055</v>
      </c>
      <c r="F13" s="57" t="n">
        <f aca="false">MIN(ROUNDDOWN(N($E13)*Paramètres!$C$16,0),Paramètres!$D$16)</f>
        <v>57211</v>
      </c>
      <c r="G13" s="57" t="n">
        <f aca="false">MIN(ROUNDDOWN(N($E13)*Paramètres!$C$17,0),Paramètres!$D$17)</f>
        <v>14302</v>
      </c>
      <c r="H13" s="57" t="n">
        <f aca="false">MIN(ROUNDDOWN(N($E13)*Paramètres!$C$18,0),Paramètres!$D$18)</f>
        <v>14302</v>
      </c>
      <c r="I13" s="57" t="n">
        <f aca="false">N($E13)-(F13+G13+H13)</f>
        <v>200240</v>
      </c>
      <c r="J13" s="58" t="n">
        <v>0</v>
      </c>
      <c r="K13" s="59" t="str">
        <f aca="false">IF(I13&lt;Paramètres!$C$11,"Cadre inférieur","Cadre supérieur")</f>
        <v>Cadre supérieur</v>
      </c>
      <c r="L13" s="57" t="n">
        <f aca="false">MIN(F13,MIN(N($E13)*Paramètres!$C$16,Paramètres!$D$16))+MIN(G13,MIN(N($E13)*Paramètres!$C$17,Paramètres!$D$17))+MIN(H13,MIN(N($E13)*Paramètres!$C$18,Paramètres!$D$18))</f>
        <v>85815</v>
      </c>
      <c r="M13" s="57" t="n">
        <f aca="false">MIN(N($E13),Paramètres!$C$7)*Paramètres!$C$6</f>
        <v>15733.025</v>
      </c>
      <c r="N13" s="57" t="n">
        <f aca="false">MIN(M13,I13*Paramètres!$C$8)</f>
        <v>15733.025</v>
      </c>
      <c r="O13" s="57" t="n">
        <f aca="false">I13*IF(K13="Cadre supérieur",Paramètres!$C$10,Paramètres!$C$9)</f>
        <v>40048</v>
      </c>
      <c r="P13" s="57" t="n">
        <f aca="false">MAX(0,ROUNDDOWN(N($E13)-L13-N13-O13,-2))</f>
        <v>144400</v>
      </c>
      <c r="Q13" s="57" t="n">
        <f aca="false">SUMPRODUCT((P13&gt;Paramètres!$B$21:$B$27)*(P13-Paramètres!$B$21:$B$27)*Paramètres!$E$21:$E$27)</f>
        <v>17359.6</v>
      </c>
      <c r="R13" s="57" t="n">
        <f aca="false">Q13*INDEX(Paramètres!$C$31:$C$38,MIN(MAX(INT(N(J13)),0),7)+1)</f>
        <v>0</v>
      </c>
      <c r="S13" s="60" t="n">
        <f aca="false">ROUND(Q13-R13,0)</f>
        <v>17360</v>
      </c>
      <c r="T13" s="57" t="n">
        <f aca="false">ROUND(N($E13)*Paramètres!$C$13,0)</f>
        <v>8582</v>
      </c>
      <c r="U13" s="57" t="n">
        <f aca="false">ROUND(MAX(0,N($E13)-(Q13-R13)-M13)*Paramètres!$C$12,0)</f>
        <v>2530</v>
      </c>
      <c r="V13" s="60" t="n">
        <f aca="false">ROUND(N($E13)-M13-S13-U13,0)</f>
        <v>250432</v>
      </c>
    </row>
    <row r="14" customFormat="false" ht="17.25" hidden="false" customHeight="true" outlineLevel="0" collapsed="false">
      <c r="B14" s="53" t="n">
        <v>8</v>
      </c>
      <c r="C14" s="54" t="s">
        <v>13</v>
      </c>
      <c r="D14" s="55" t="n">
        <v>45677</v>
      </c>
      <c r="E14" s="56" t="n">
        <f aca="false">'Jan-fév-mars-avril-mai-juin'!F12</f>
        <v>286055</v>
      </c>
      <c r="F14" s="57" t="n">
        <f aca="false">MIN(ROUNDDOWN(N($E14)*Paramètres!$C$16,0),Paramètres!$D$16)</f>
        <v>57211</v>
      </c>
      <c r="G14" s="57" t="n">
        <f aca="false">MIN(ROUNDDOWN(N($E14)*Paramètres!$C$17,0),Paramètres!$D$17)</f>
        <v>14302</v>
      </c>
      <c r="H14" s="57" t="n">
        <f aca="false">MIN(ROUNDDOWN(N($E14)*Paramètres!$C$18,0),Paramètres!$D$18)</f>
        <v>14302</v>
      </c>
      <c r="I14" s="57" t="n">
        <f aca="false">N($E14)-(F14+G14+H14)</f>
        <v>200240</v>
      </c>
      <c r="J14" s="58" t="n">
        <v>0</v>
      </c>
      <c r="K14" s="59" t="str">
        <f aca="false">IF(I14&lt;Paramètres!$C$11,"Cadre inférieur","Cadre supérieur")</f>
        <v>Cadre supérieur</v>
      </c>
      <c r="L14" s="57" t="n">
        <f aca="false">MIN(F14,MIN(N($E14)*Paramètres!$C$16,Paramètres!$D$16))+MIN(G14,MIN(N($E14)*Paramètres!$C$17,Paramètres!$D$17))+MIN(H14,MIN(N($E14)*Paramètres!$C$18,Paramètres!$D$18))</f>
        <v>85815</v>
      </c>
      <c r="M14" s="57" t="n">
        <f aca="false">MIN(N($E14),Paramètres!$C$7)*Paramètres!$C$6</f>
        <v>15733.025</v>
      </c>
      <c r="N14" s="57" t="n">
        <f aca="false">MIN(M14,I14*Paramètres!$C$8)</f>
        <v>15733.025</v>
      </c>
      <c r="O14" s="57" t="n">
        <f aca="false">I14*IF(K14="Cadre supérieur",Paramètres!$C$10,Paramètres!$C$9)</f>
        <v>40048</v>
      </c>
      <c r="P14" s="57" t="n">
        <f aca="false">MAX(0,ROUNDDOWN(N($E14)-L14-N14-O14,-2))</f>
        <v>144400</v>
      </c>
      <c r="Q14" s="57" t="n">
        <f aca="false">SUMPRODUCT((P14&gt;Paramètres!$B$21:$B$27)*(P14-Paramètres!$B$21:$B$27)*Paramètres!$E$21:$E$27)</f>
        <v>17359.6</v>
      </c>
      <c r="R14" s="57" t="n">
        <f aca="false">Q14*INDEX(Paramètres!$C$31:$C$38,MIN(MAX(INT(N(J14)),0),7)+1)</f>
        <v>0</v>
      </c>
      <c r="S14" s="60" t="n">
        <f aca="false">ROUND(Q14-R14,0)</f>
        <v>17360</v>
      </c>
      <c r="T14" s="57" t="n">
        <f aca="false">ROUND(N($E14)*Paramètres!$C$13,0)</f>
        <v>8582</v>
      </c>
      <c r="U14" s="57" t="n">
        <f aca="false">ROUND(MAX(0,N($E14)-(Q14-R14)-M14)*Paramètres!$C$12,0)</f>
        <v>2530</v>
      </c>
      <c r="V14" s="60" t="n">
        <f aca="false">ROUND(N($E14)-M14-S14-U14,0)</f>
        <v>250432</v>
      </c>
    </row>
    <row r="15" customFormat="false" ht="17.25" hidden="false" customHeight="true" outlineLevel="0" collapsed="false">
      <c r="B15" s="53" t="n">
        <v>9</v>
      </c>
      <c r="C15" s="54" t="s">
        <v>14</v>
      </c>
      <c r="D15" s="55" t="n">
        <v>46092</v>
      </c>
      <c r="E15" s="56" t="n">
        <f aca="false">'Jan-fév-mars-avril-mai-juin'!F13</f>
        <v>0</v>
      </c>
      <c r="F15" s="57" t="n">
        <f aca="false">MIN(ROUNDDOWN(N($E15)*Paramètres!$C$16,0),Paramètres!$D$16)</f>
        <v>0</v>
      </c>
      <c r="G15" s="57" t="n">
        <f aca="false">MIN(ROUNDDOWN(N($E15)*Paramètres!$C$17,0),Paramètres!$D$17)</f>
        <v>0</v>
      </c>
      <c r="H15" s="57" t="n">
        <f aca="false">MIN(ROUNDDOWN(N($E15)*Paramètres!$C$18,0),Paramètres!$D$18)</f>
        <v>0</v>
      </c>
      <c r="I15" s="57" t="n">
        <f aca="false">N($E15)-(F15+G15+H15)</f>
        <v>0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0</v>
      </c>
      <c r="M15" s="57" t="n">
        <f aca="false">MIN(N($E15),Paramètres!$C$7)*Paramètres!$C$6</f>
        <v>0</v>
      </c>
      <c r="N15" s="57" t="n">
        <f aca="false">MIN(M15,I15*Paramètres!$C$8)</f>
        <v>0</v>
      </c>
      <c r="O15" s="57" t="n">
        <f aca="false">I15*IF(K15="Cadre supérieur",Paramètres!$C$10,Paramètres!$C$9)</f>
        <v>0</v>
      </c>
      <c r="P15" s="57" t="n">
        <f aca="false">MAX(0,ROUNDDOWN(N($E15)-L15-N15-O15,-2))</f>
        <v>0</v>
      </c>
      <c r="Q15" s="57" t="n">
        <f aca="false">SUMPRODUCT((P15&gt;Paramètres!$B$21:$B$27)*(P15-Paramètres!$B$21:$B$27)*Paramètres!$E$21:$E$27)</f>
        <v>0</v>
      </c>
      <c r="R15" s="57" t="n">
        <f aca="false">Q15*INDEX(Paramètres!$C$31:$C$38,MIN(MAX(INT(N(J15)),0),7)+1)</f>
        <v>0</v>
      </c>
      <c r="S15" s="60" t="n">
        <f aca="false">ROUND(Q15-R15,0)</f>
        <v>0</v>
      </c>
      <c r="T15" s="57" t="n">
        <f aca="false">ROUND(N($E15)*Paramètres!$C$13,0)</f>
        <v>0</v>
      </c>
      <c r="U15" s="57" t="n">
        <f aca="false">ROUND(MAX(0,N($E15)-(Q15-R15)-M15)*Paramètres!$C$12,0)</f>
        <v>0</v>
      </c>
      <c r="V15" s="60" t="n">
        <f aca="false">ROUND(N($E15)-M15-S15-U15,0)</f>
        <v>0</v>
      </c>
    </row>
    <row r="16" customFormat="false" ht="21.75" hidden="false" customHeight="true" outlineLevel="0" collapsed="false">
      <c r="B16" s="61" t="s">
        <v>15</v>
      </c>
      <c r="C16" s="61"/>
      <c r="D16" s="61"/>
      <c r="E16" s="62" t="n">
        <f aca="false">SUM(E7:E15)</f>
        <v>1023666</v>
      </c>
      <c r="F16" s="62" t="n">
        <f aca="false">SUM(F7:F15)</f>
        <v>204732</v>
      </c>
      <c r="G16" s="62" t="n">
        <f aca="false">SUM(G7:G15)</f>
        <v>51180</v>
      </c>
      <c r="H16" s="62" t="n">
        <f aca="false">SUM(H7:H15)</f>
        <v>51180</v>
      </c>
      <c r="I16" s="62" t="n">
        <f aca="false">SUM(I7:I15)</f>
        <v>716574</v>
      </c>
      <c r="L16" s="62" t="n">
        <f aca="false">SUM(L7:L15)</f>
        <v>307092</v>
      </c>
      <c r="M16" s="62" t="n">
        <f aca="false">SUM(M7:M15)</f>
        <v>56301.63</v>
      </c>
      <c r="N16" s="62" t="n">
        <f aca="false">SUM(N7:N15)</f>
        <v>56301.63</v>
      </c>
      <c r="O16" s="62" t="n">
        <f aca="false">SUM(O7:O15)</f>
        <v>143314.8</v>
      </c>
      <c r="P16" s="62" t="n">
        <f aca="false">SUM(P7:P15)</f>
        <v>516800</v>
      </c>
      <c r="Q16" s="62" t="n">
        <f aca="false">SUM(Q7:Q15)</f>
        <v>58575.2</v>
      </c>
      <c r="R16" s="62" t="n">
        <f aca="false">SUM(R7:R15)</f>
        <v>0</v>
      </c>
      <c r="S16" s="63" t="n">
        <f aca="false">SUM(S7:S15)</f>
        <v>58576</v>
      </c>
      <c r="T16" s="62" t="n">
        <f aca="false">SUM(T7:T15)</f>
        <v>30710</v>
      </c>
      <c r="U16" s="62" t="n">
        <f aca="false">SUM(U7:U15)</f>
        <v>9088</v>
      </c>
      <c r="V16" s="63" t="n">
        <f aca="false">SUM(V7:V15)</f>
        <v>899700</v>
      </c>
    </row>
    <row r="17" customFormat="false" ht="21.75" hidden="false" customHeight="true" outlineLevel="0" collapsed="false">
      <c r="B17" s="64" t="s">
        <v>125</v>
      </c>
      <c r="C17" s="64"/>
      <c r="D17" s="64"/>
      <c r="E17" s="65" t="n">
        <f aca="false">Janvier!E17+E16</f>
        <v>1926456</v>
      </c>
      <c r="S17" s="66" t="n">
        <f aca="false">Janvier!S17+S16</f>
        <v>105836</v>
      </c>
      <c r="T17" s="65" t="n">
        <f aca="false">Janvier!T17+T16</f>
        <v>57794</v>
      </c>
      <c r="U17" s="65" t="n">
        <f aca="false">Janvier!U17+U16</f>
        <v>17148</v>
      </c>
      <c r="V17" s="66" t="n">
        <f aca="false">Janvier!V17+V16</f>
        <v>1697516</v>
      </c>
    </row>
    <row r="19" customFormat="false" ht="15" hidden="false" customHeight="false" outlineLevel="0" collapsed="false">
      <c r="C19" s="67" t="s">
        <v>126</v>
      </c>
    </row>
    <row r="20" customFormat="false" ht="15" hidden="false" customHeight="false" outlineLevel="0" collapsed="false">
      <c r="C20" s="68" t="s">
        <v>127</v>
      </c>
    </row>
    <row r="21" customFormat="false" ht="15" hidden="false" customHeight="false" outlineLevel="0" collapsed="false">
      <c r="C21" s="68" t="s">
        <v>128</v>
      </c>
    </row>
    <row r="22" customFormat="false" ht="15" hidden="false" customHeight="false" outlineLevel="0" collapsed="false">
      <c r="C22" s="68" t="s">
        <v>129</v>
      </c>
    </row>
    <row r="23" customFormat="false" ht="15" hidden="false" customHeight="false" outlineLevel="0" collapsed="false">
      <c r="C23" s="68" t="s">
        <v>130</v>
      </c>
    </row>
    <row r="24" customFormat="false" ht="15" hidden="false" customHeight="false" outlineLevel="0" collapsed="false">
      <c r="C24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134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135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6</v>
      </c>
      <c r="D7" s="55" t="n">
        <v>45881</v>
      </c>
      <c r="E7" s="56" t="n">
        <f aca="false">'Jan-fév-mars-avril-mai-juin'!G5</f>
        <v>225778</v>
      </c>
      <c r="F7" s="57" t="n">
        <f aca="false">MIN(ROUNDDOWN(N($E7)*Paramètres!$C$16,0),Paramètres!$D$16)</f>
        <v>45155</v>
      </c>
      <c r="G7" s="57" t="n">
        <f aca="false">MIN(ROUNDDOWN(N($E7)*Paramètres!$C$17,0),Paramètres!$D$17)</f>
        <v>11288</v>
      </c>
      <c r="H7" s="57" t="n">
        <f aca="false">MIN(ROUNDDOWN(N($E7)*Paramètres!$C$18,0),Paramètres!$D$18)</f>
        <v>11288</v>
      </c>
      <c r="I7" s="57" t="n">
        <f aca="false">N($E7)-(F7+G7+H7)</f>
        <v>158047</v>
      </c>
      <c r="J7" s="58" t="n">
        <v>0</v>
      </c>
      <c r="K7" s="59" t="str">
        <f aca="false">IF(I7&lt;Paramètres!$C$11,"Cadre inférieur","Cadre supérieur")</f>
        <v>Cadre supérieur</v>
      </c>
      <c r="L7" s="57" t="n">
        <f aca="false">MIN(F7,MIN(N($E7)*Paramètres!$C$16,Paramètres!$D$16))+MIN(G7,MIN(N($E7)*Paramètres!$C$17,Paramètres!$D$17))+MIN(H7,MIN(N($E7)*Paramètres!$C$18,Paramètres!$D$18))</f>
        <v>67731</v>
      </c>
      <c r="M7" s="57" t="n">
        <f aca="false">MIN(N($E7),Paramètres!$C$7)*Paramètres!$C$6</f>
        <v>12417.79</v>
      </c>
      <c r="N7" s="57" t="n">
        <f aca="false">MIN(M7,I7*Paramètres!$C$8)</f>
        <v>12417.79</v>
      </c>
      <c r="O7" s="57" t="n">
        <f aca="false">I7*IF(K7="Cadre supérieur",Paramètres!$C$10,Paramètres!$C$9)</f>
        <v>31609.4</v>
      </c>
      <c r="P7" s="57" t="n">
        <f aca="false">MAX(0,ROUNDDOWN(N($E7)-L7-N7-O7,-2))</f>
        <v>114000</v>
      </c>
      <c r="Q7" s="57" t="n">
        <f aca="false">SUMPRODUCT((P7&gt;Paramètres!$B$21:$B$27)*(P7-Paramètres!$B$21:$B$27)*Paramètres!$E$21:$E$27)</f>
        <v>11928</v>
      </c>
      <c r="R7" s="57" t="n">
        <f aca="false">Q7*INDEX(Paramètres!$C$31:$C$38,MIN(MAX(INT(N(J7)),0),7)+1)</f>
        <v>0</v>
      </c>
      <c r="S7" s="60" t="n">
        <f aca="false">ROUND(Q7-R7,0)</f>
        <v>11928</v>
      </c>
      <c r="T7" s="57" t="n">
        <f aca="false">ROUND(N($E7)*Paramètres!$C$13,0)</f>
        <v>6773</v>
      </c>
      <c r="U7" s="57" t="n">
        <f aca="false">ROUND(MAX(0,N($E7)-(Q7-R7)-M7)*Paramètres!$C$12,0)</f>
        <v>2014</v>
      </c>
      <c r="V7" s="60" t="n">
        <f aca="false">ROUND(N($E7)-M7-S7-U7,0)</f>
        <v>199418</v>
      </c>
    </row>
    <row r="8" customFormat="false" ht="17.25" hidden="false" customHeight="true" outlineLevel="0" collapsed="false">
      <c r="B8" s="53" t="n">
        <v>2</v>
      </c>
      <c r="C8" s="54" t="s">
        <v>7</v>
      </c>
      <c r="D8" s="55" t="n">
        <v>45778</v>
      </c>
      <c r="E8" s="56" t="n">
        <f aca="false">'Jan-fév-mars-avril-mai-juin'!G6</f>
        <v>213563</v>
      </c>
      <c r="F8" s="57" t="n">
        <f aca="false">MIN(ROUNDDOWN(N($E8)*Paramètres!$C$16,0),Paramètres!$D$16)</f>
        <v>42712</v>
      </c>
      <c r="G8" s="57" t="n">
        <f aca="false">MIN(ROUNDDOWN(N($E8)*Paramètres!$C$17,0),Paramètres!$D$17)</f>
        <v>10678</v>
      </c>
      <c r="H8" s="57" t="n">
        <f aca="false">MIN(ROUNDDOWN(N($E8)*Paramètres!$C$18,0),Paramètres!$D$18)</f>
        <v>10678</v>
      </c>
      <c r="I8" s="57" t="n">
        <f aca="false">N($E8)-(F8+G8+H8)</f>
        <v>149495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64068</v>
      </c>
      <c r="M8" s="57" t="n">
        <f aca="false">MIN(N($E8),Paramètres!$C$7)*Paramètres!$C$6</f>
        <v>11745.965</v>
      </c>
      <c r="N8" s="57" t="n">
        <f aca="false">MIN(M8,I8*Paramètres!$C$8)</f>
        <v>11745.965</v>
      </c>
      <c r="O8" s="57" t="n">
        <f aca="false">I8*IF(K8="Cadre supérieur",Paramètres!$C$10,Paramètres!$C$9)</f>
        <v>37373.75</v>
      </c>
      <c r="P8" s="57" t="n">
        <f aca="false">MAX(0,ROUNDDOWN(N($E8)-L8-N8-O8,-2))</f>
        <v>100300</v>
      </c>
      <c r="Q8" s="57" t="n">
        <f aca="false">SUMPRODUCT((P8&gt;Paramètres!$B$21:$B$27)*(P8-Paramètres!$B$21:$B$27)*Paramètres!$E$21:$E$27)</f>
        <v>9777.1</v>
      </c>
      <c r="R8" s="57" t="n">
        <f aca="false">Q8*INDEX(Paramètres!$C$31:$C$38,MIN(MAX(INT(N(J8)),0),7)+1)</f>
        <v>0</v>
      </c>
      <c r="S8" s="60" t="n">
        <f aca="false">ROUND(Q8-R8,0)</f>
        <v>9777</v>
      </c>
      <c r="T8" s="57" t="n">
        <f aca="false">ROUND(N($E8)*Paramètres!$C$13,0)</f>
        <v>6407</v>
      </c>
      <c r="U8" s="57" t="n">
        <f aca="false">ROUND(MAX(0,N($E8)-(Q8-R8)-M8)*Paramètres!$C$12,0)</f>
        <v>1920</v>
      </c>
      <c r="V8" s="60" t="n">
        <f aca="false">ROUND(N($E8)-M8-S8-U8,0)</f>
        <v>190120</v>
      </c>
    </row>
    <row r="9" customFormat="false" ht="17.25" hidden="false" customHeight="true" outlineLevel="0" collapsed="false">
      <c r="B9" s="53" t="n">
        <v>3</v>
      </c>
      <c r="C9" s="54" t="s">
        <v>8</v>
      </c>
      <c r="D9" s="55" t="n">
        <v>45912</v>
      </c>
      <c r="E9" s="56" t="n">
        <f aca="false">'Jan-fév-mars-avril-mai-juin'!G7</f>
        <v>213566</v>
      </c>
      <c r="F9" s="57" t="n">
        <f aca="false">MIN(ROUNDDOWN(N($E9)*Paramètres!$C$16,0),Paramètres!$D$16)</f>
        <v>42713</v>
      </c>
      <c r="G9" s="57" t="n">
        <f aca="false">MIN(ROUNDDOWN(N($E9)*Paramètres!$C$17,0),Paramètres!$D$17)</f>
        <v>10678</v>
      </c>
      <c r="H9" s="57" t="n">
        <f aca="false">MIN(ROUNDDOWN(N($E9)*Paramètres!$C$18,0),Paramètres!$D$18)</f>
        <v>10678</v>
      </c>
      <c r="I9" s="57" t="n">
        <f aca="false">N($E9)-(F9+G9+H9)</f>
        <v>149497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64069</v>
      </c>
      <c r="M9" s="57" t="n">
        <f aca="false">MIN(N($E9),Paramètres!$C$7)*Paramètres!$C$6</f>
        <v>11746.13</v>
      </c>
      <c r="N9" s="57" t="n">
        <f aca="false">MIN(M9,I9*Paramètres!$C$8)</f>
        <v>11746.13</v>
      </c>
      <c r="O9" s="57" t="n">
        <f aca="false">I9*IF(K9="Cadre supérieur",Paramètres!$C$10,Paramètres!$C$9)</f>
        <v>37374.25</v>
      </c>
      <c r="P9" s="57" t="n">
        <f aca="false">MAX(0,ROUNDDOWN(N($E9)-L9-N9-O9,-2))</f>
        <v>100300</v>
      </c>
      <c r="Q9" s="57" t="n">
        <f aca="false">SUMPRODUCT((P9&gt;Paramètres!$B$21:$B$27)*(P9-Paramètres!$B$21:$B$27)*Paramètres!$E$21:$E$27)</f>
        <v>9777.1</v>
      </c>
      <c r="R9" s="57" t="n">
        <f aca="false">Q9*INDEX(Paramètres!$C$31:$C$38,MIN(MAX(INT(N(J9)),0),7)+1)</f>
        <v>0</v>
      </c>
      <c r="S9" s="60" t="n">
        <f aca="false">ROUND(Q9-R9,0)</f>
        <v>9777</v>
      </c>
      <c r="T9" s="57" t="n">
        <f aca="false">ROUND(N($E9)*Paramètres!$C$13,0)</f>
        <v>6407</v>
      </c>
      <c r="U9" s="57" t="n">
        <f aca="false">ROUND(MAX(0,N($E9)-(Q9-R9)-M9)*Paramètres!$C$12,0)</f>
        <v>1920</v>
      </c>
      <c r="V9" s="60" t="n">
        <f aca="false">ROUND(N($E9)-M9-S9-U9,0)</f>
        <v>190123</v>
      </c>
    </row>
    <row r="10" customFormat="false" ht="17.25" hidden="false" customHeight="true" outlineLevel="0" collapsed="false">
      <c r="B10" s="53" t="n">
        <v>4</v>
      </c>
      <c r="C10" s="54" t="s">
        <v>9</v>
      </c>
      <c r="D10" s="55" t="n">
        <v>45778</v>
      </c>
      <c r="E10" s="56" t="n">
        <f aca="false">'Jan-fév-mars-avril-mai-juin'!G8</f>
        <v>0</v>
      </c>
      <c r="F10" s="57" t="n">
        <f aca="false">MIN(ROUNDDOWN(N($E10)*Paramètres!$C$16,0),Paramètres!$D$16)</f>
        <v>0</v>
      </c>
      <c r="G10" s="57" t="n">
        <f aca="false">MIN(ROUNDDOWN(N($E10)*Paramètres!$C$17,0),Paramètres!$D$17)</f>
        <v>0</v>
      </c>
      <c r="H10" s="57" t="n">
        <f aca="false">MIN(ROUNDDOWN(N($E10)*Paramètres!$C$18,0),Paramètres!$D$18)</f>
        <v>0</v>
      </c>
      <c r="I10" s="57" t="n">
        <f aca="false">N($E10)-(F10+G10+H10)</f>
        <v>0</v>
      </c>
      <c r="J10" s="58" t="n">
        <v>0</v>
      </c>
      <c r="K10" s="59" t="str">
        <f aca="false">IF(I10&lt;Paramètres!$C$11,"Cadre inférieur","Cadre supérieur")</f>
        <v>Cadre inférieur</v>
      </c>
      <c r="L10" s="57" t="n">
        <f aca="false">MIN(F10,MIN(N($E10)*Paramètres!$C$16,Paramètres!$D$16))+MIN(G10,MIN(N($E10)*Paramètres!$C$17,Paramètres!$D$17))+MIN(H10,MIN(N($E10)*Paramètres!$C$18,Paramètres!$D$18))</f>
        <v>0</v>
      </c>
      <c r="M10" s="57" t="n">
        <f aca="false">MIN(N($E10),Paramètres!$C$7)*Paramètres!$C$6</f>
        <v>0</v>
      </c>
      <c r="N10" s="57" t="n">
        <f aca="false">MIN(M10,I10*Paramètres!$C$8)</f>
        <v>0</v>
      </c>
      <c r="O10" s="57" t="n">
        <f aca="false">I10*IF(K10="Cadre supérieur",Paramètres!$C$10,Paramètres!$C$9)</f>
        <v>0</v>
      </c>
      <c r="P10" s="57" t="n">
        <f aca="false">MAX(0,ROUNDDOWN(N($E10)-L10-N10-O10,-2))</f>
        <v>0</v>
      </c>
      <c r="Q10" s="57" t="n">
        <f aca="false">SUMPRODUCT((P10&gt;Paramètres!$B$21:$B$27)*(P10-Paramètres!$B$21:$B$27)*Paramètres!$E$21:$E$27)</f>
        <v>0</v>
      </c>
      <c r="R10" s="57" t="n">
        <f aca="false">Q10*INDEX(Paramètres!$C$31:$C$38,MIN(MAX(INT(N(J10)),0),7)+1)</f>
        <v>0</v>
      </c>
      <c r="S10" s="60" t="n">
        <f aca="false">ROUND(Q10-R10,0)</f>
        <v>0</v>
      </c>
      <c r="T10" s="57" t="n">
        <f aca="false">ROUND(N($E10)*Paramètres!$C$13,0)</f>
        <v>0</v>
      </c>
      <c r="U10" s="57" t="n">
        <f aca="false">ROUND(MAX(0,N($E10)-(Q10-R10)-M10)*Paramètres!$C$12,0)</f>
        <v>0</v>
      </c>
      <c r="V10" s="60" t="n">
        <f aca="false">ROUND(N($E10)-M10-S10-U10,0)</f>
        <v>0</v>
      </c>
    </row>
    <row r="11" customFormat="false" ht="17.25" hidden="false" customHeight="true" outlineLevel="0" collapsed="false">
      <c r="B11" s="53" t="n">
        <v>5</v>
      </c>
      <c r="C11" s="54" t="s">
        <v>10</v>
      </c>
      <c r="D11" s="55" t="n">
        <v>46000</v>
      </c>
      <c r="E11" s="56" t="n">
        <f aca="false">'Jan-fév-mars-avril-mai-juin'!G9</f>
        <v>0</v>
      </c>
      <c r="F11" s="57" t="n">
        <f aca="false">MIN(ROUNDDOWN(N($E11)*Paramètres!$C$16,0),Paramètres!$D$16)</f>
        <v>0</v>
      </c>
      <c r="G11" s="57" t="n">
        <f aca="false">MIN(ROUNDDOWN(N($E11)*Paramètres!$C$17,0),Paramètres!$D$17)</f>
        <v>0</v>
      </c>
      <c r="H11" s="57" t="n">
        <f aca="false">MIN(ROUNDDOWN(N($E11)*Paramètres!$C$18,0),Paramètres!$D$18)</f>
        <v>0</v>
      </c>
      <c r="I11" s="57" t="n">
        <f aca="false">N($E11)-(F11+G11+H11)</f>
        <v>0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0</v>
      </c>
      <c r="M11" s="57" t="n">
        <f aca="false">MIN(N($E11),Paramètres!$C$7)*Paramètres!$C$6</f>
        <v>0</v>
      </c>
      <c r="N11" s="57" t="n">
        <f aca="false">MIN(M11,I11*Paramètres!$C$8)</f>
        <v>0</v>
      </c>
      <c r="O11" s="57" t="n">
        <f aca="false">I11*IF(K11="Cadre supérieur",Paramètres!$C$10,Paramètres!$C$9)</f>
        <v>0</v>
      </c>
      <c r="P11" s="57" t="n">
        <f aca="false">MAX(0,ROUNDDOWN(N($E11)-L11-N11-O11,-2))</f>
        <v>0</v>
      </c>
      <c r="Q11" s="57" t="n">
        <f aca="false">SUMPRODUCT((P11&gt;Paramètres!$B$21:$B$27)*(P11-Paramètres!$B$21:$B$27)*Paramètres!$E$21:$E$27)</f>
        <v>0</v>
      </c>
      <c r="R11" s="57" t="n">
        <f aca="false">Q11*INDEX(Paramètres!$C$31:$C$38,MIN(MAX(INT(N(J11)),0),7)+1)</f>
        <v>0</v>
      </c>
      <c r="S11" s="60" t="n">
        <f aca="false">ROUND(Q11-R11,0)</f>
        <v>0</v>
      </c>
      <c r="T11" s="57" t="n">
        <f aca="false">ROUND(N($E11)*Paramètres!$C$13,0)</f>
        <v>0</v>
      </c>
      <c r="U11" s="57" t="n">
        <f aca="false">ROUND(MAX(0,N($E11)-(Q11-R11)-M11)*Paramètres!$C$12,0)</f>
        <v>0</v>
      </c>
      <c r="V11" s="60" t="n">
        <f aca="false">ROUND(N($E11)-M11-S11-U11,0)</f>
        <v>0</v>
      </c>
    </row>
    <row r="12" customFormat="false" ht="17.25" hidden="false" customHeight="true" outlineLevel="0" collapsed="false">
      <c r="B12" s="53" t="n">
        <v>6</v>
      </c>
      <c r="C12" s="54" t="s">
        <v>11</v>
      </c>
      <c r="D12" s="55" t="n">
        <v>45778</v>
      </c>
      <c r="E12" s="56" t="n">
        <f aca="false">'Jan-fév-mars-avril-mai-juin'!G10</f>
        <v>225778</v>
      </c>
      <c r="F12" s="57" t="n">
        <f aca="false">MIN(ROUNDDOWN(N($E12)*Paramètres!$C$16,0),Paramètres!$D$16)</f>
        <v>45155</v>
      </c>
      <c r="G12" s="57" t="n">
        <f aca="false">MIN(ROUNDDOWN(N($E12)*Paramètres!$C$17,0),Paramètres!$D$17)</f>
        <v>11288</v>
      </c>
      <c r="H12" s="57" t="n">
        <f aca="false">MIN(ROUNDDOWN(N($E12)*Paramètres!$C$18,0),Paramètres!$D$18)</f>
        <v>11288</v>
      </c>
      <c r="I12" s="57" t="n">
        <f aca="false">N($E12)-(F12+G12+H12)</f>
        <v>158047</v>
      </c>
      <c r="J12" s="58" t="n">
        <v>0</v>
      </c>
      <c r="K12" s="59" t="str">
        <f aca="false">IF(I12&lt;Paramètres!$C$11,"Cadre inférieur","Cadre supérieur")</f>
        <v>Cadre supérieur</v>
      </c>
      <c r="L12" s="57" t="n">
        <f aca="false">MIN(F12,MIN(N($E12)*Paramètres!$C$16,Paramètres!$D$16))+MIN(G12,MIN(N($E12)*Paramètres!$C$17,Paramètres!$D$17))+MIN(H12,MIN(N($E12)*Paramètres!$C$18,Paramètres!$D$18))</f>
        <v>67731</v>
      </c>
      <c r="M12" s="57" t="n">
        <f aca="false">MIN(N($E12),Paramètres!$C$7)*Paramètres!$C$6</f>
        <v>12417.79</v>
      </c>
      <c r="N12" s="57" t="n">
        <f aca="false">MIN(M12,I12*Paramètres!$C$8)</f>
        <v>12417.79</v>
      </c>
      <c r="O12" s="57" t="n">
        <f aca="false">I12*IF(K12="Cadre supérieur",Paramètres!$C$10,Paramètres!$C$9)</f>
        <v>31609.4</v>
      </c>
      <c r="P12" s="57" t="n">
        <f aca="false">MAX(0,ROUNDDOWN(N($E12)-L12-N12-O12,-2))</f>
        <v>114000</v>
      </c>
      <c r="Q12" s="57" t="n">
        <f aca="false">SUMPRODUCT((P12&gt;Paramètres!$B$21:$B$27)*(P12-Paramètres!$B$21:$B$27)*Paramètres!$E$21:$E$27)</f>
        <v>11928</v>
      </c>
      <c r="R12" s="57" t="n">
        <f aca="false">Q12*INDEX(Paramètres!$C$31:$C$38,MIN(MAX(INT(N(J12)),0),7)+1)</f>
        <v>0</v>
      </c>
      <c r="S12" s="60" t="n">
        <f aca="false">ROUND(Q12-R12,0)</f>
        <v>11928</v>
      </c>
      <c r="T12" s="57" t="n">
        <f aca="false">ROUND(N($E12)*Paramètres!$C$13,0)</f>
        <v>6773</v>
      </c>
      <c r="U12" s="57" t="n">
        <f aca="false">ROUND(MAX(0,N($E12)-(Q12-R12)-M12)*Paramètres!$C$12,0)</f>
        <v>2014</v>
      </c>
      <c r="V12" s="60" t="n">
        <f aca="false">ROUND(N($E12)-M12-S12-U12,0)</f>
        <v>199418</v>
      </c>
    </row>
    <row r="13" customFormat="false" ht="17.25" hidden="false" customHeight="true" outlineLevel="0" collapsed="false">
      <c r="B13" s="53" t="n">
        <v>7</v>
      </c>
      <c r="C13" s="54" t="s">
        <v>12</v>
      </c>
      <c r="D13" s="55" t="n">
        <v>45677</v>
      </c>
      <c r="E13" s="56" t="n">
        <f aca="false">'Jan-fév-mars-avril-mai-juin'!G11</f>
        <v>286055</v>
      </c>
      <c r="F13" s="57" t="n">
        <f aca="false">MIN(ROUNDDOWN(N($E13)*Paramètres!$C$16,0),Paramètres!$D$16)</f>
        <v>57211</v>
      </c>
      <c r="G13" s="57" t="n">
        <f aca="false">MIN(ROUNDDOWN(N($E13)*Paramètres!$C$17,0),Paramètres!$D$17)</f>
        <v>14302</v>
      </c>
      <c r="H13" s="57" t="n">
        <f aca="false">MIN(ROUNDDOWN(N($E13)*Paramètres!$C$18,0),Paramètres!$D$18)</f>
        <v>14302</v>
      </c>
      <c r="I13" s="57" t="n">
        <f aca="false">N($E13)-(F13+G13+H13)</f>
        <v>200240</v>
      </c>
      <c r="J13" s="58" t="n">
        <v>0</v>
      </c>
      <c r="K13" s="59" t="str">
        <f aca="false">IF(I13&lt;Paramètres!$C$11,"Cadre inférieur","Cadre supérieur")</f>
        <v>Cadre supérieur</v>
      </c>
      <c r="L13" s="57" t="n">
        <f aca="false">MIN(F13,MIN(N($E13)*Paramètres!$C$16,Paramètres!$D$16))+MIN(G13,MIN(N($E13)*Paramètres!$C$17,Paramètres!$D$17))+MIN(H13,MIN(N($E13)*Paramètres!$C$18,Paramètres!$D$18))</f>
        <v>85815</v>
      </c>
      <c r="M13" s="57" t="n">
        <f aca="false">MIN(N($E13),Paramètres!$C$7)*Paramètres!$C$6</f>
        <v>15733.025</v>
      </c>
      <c r="N13" s="57" t="n">
        <f aca="false">MIN(M13,I13*Paramètres!$C$8)</f>
        <v>15733.025</v>
      </c>
      <c r="O13" s="57" t="n">
        <f aca="false">I13*IF(K13="Cadre supérieur",Paramètres!$C$10,Paramètres!$C$9)</f>
        <v>40048</v>
      </c>
      <c r="P13" s="57" t="n">
        <f aca="false">MAX(0,ROUNDDOWN(N($E13)-L13-N13-O13,-2))</f>
        <v>144400</v>
      </c>
      <c r="Q13" s="57" t="n">
        <f aca="false">SUMPRODUCT((P13&gt;Paramètres!$B$21:$B$27)*(P13-Paramètres!$B$21:$B$27)*Paramètres!$E$21:$E$27)</f>
        <v>17359.6</v>
      </c>
      <c r="R13" s="57" t="n">
        <f aca="false">Q13*INDEX(Paramètres!$C$31:$C$38,MIN(MAX(INT(N(J13)),0),7)+1)</f>
        <v>0</v>
      </c>
      <c r="S13" s="60" t="n">
        <f aca="false">ROUND(Q13-R13,0)</f>
        <v>17360</v>
      </c>
      <c r="T13" s="57" t="n">
        <f aca="false">ROUND(N($E13)*Paramètres!$C$13,0)</f>
        <v>8582</v>
      </c>
      <c r="U13" s="57" t="n">
        <f aca="false">ROUND(MAX(0,N($E13)-(Q13-R13)-M13)*Paramètres!$C$12,0)</f>
        <v>2530</v>
      </c>
      <c r="V13" s="60" t="n">
        <f aca="false">ROUND(N($E13)-M13-S13-U13,0)</f>
        <v>250432</v>
      </c>
    </row>
    <row r="14" customFormat="false" ht="17.25" hidden="false" customHeight="true" outlineLevel="0" collapsed="false">
      <c r="B14" s="53" t="n">
        <v>8</v>
      </c>
      <c r="C14" s="54" t="s">
        <v>13</v>
      </c>
      <c r="D14" s="55" t="n">
        <v>45677</v>
      </c>
      <c r="E14" s="56" t="n">
        <f aca="false">'Jan-fév-mars-avril-mai-juin'!G12</f>
        <v>286055</v>
      </c>
      <c r="F14" s="57" t="n">
        <f aca="false">MIN(ROUNDDOWN(N($E14)*Paramètres!$C$16,0),Paramètres!$D$16)</f>
        <v>57211</v>
      </c>
      <c r="G14" s="57" t="n">
        <f aca="false">MIN(ROUNDDOWN(N($E14)*Paramètres!$C$17,0),Paramètres!$D$17)</f>
        <v>14302</v>
      </c>
      <c r="H14" s="57" t="n">
        <f aca="false">MIN(ROUNDDOWN(N($E14)*Paramètres!$C$18,0),Paramètres!$D$18)</f>
        <v>14302</v>
      </c>
      <c r="I14" s="57" t="n">
        <f aca="false">N($E14)-(F14+G14+H14)</f>
        <v>200240</v>
      </c>
      <c r="J14" s="58" t="n">
        <v>0</v>
      </c>
      <c r="K14" s="59" t="str">
        <f aca="false">IF(I14&lt;Paramètres!$C$11,"Cadre inférieur","Cadre supérieur")</f>
        <v>Cadre supérieur</v>
      </c>
      <c r="L14" s="57" t="n">
        <f aca="false">MIN(F14,MIN(N($E14)*Paramètres!$C$16,Paramètres!$D$16))+MIN(G14,MIN(N($E14)*Paramètres!$C$17,Paramètres!$D$17))+MIN(H14,MIN(N($E14)*Paramètres!$C$18,Paramètres!$D$18))</f>
        <v>85815</v>
      </c>
      <c r="M14" s="57" t="n">
        <f aca="false">MIN(N($E14),Paramètres!$C$7)*Paramètres!$C$6</f>
        <v>15733.025</v>
      </c>
      <c r="N14" s="57" t="n">
        <f aca="false">MIN(M14,I14*Paramètres!$C$8)</f>
        <v>15733.025</v>
      </c>
      <c r="O14" s="57" t="n">
        <f aca="false">I14*IF(K14="Cadre supérieur",Paramètres!$C$10,Paramètres!$C$9)</f>
        <v>40048</v>
      </c>
      <c r="P14" s="57" t="n">
        <f aca="false">MAX(0,ROUNDDOWN(N($E14)-L14-N14-O14,-2))</f>
        <v>144400</v>
      </c>
      <c r="Q14" s="57" t="n">
        <f aca="false">SUMPRODUCT((P14&gt;Paramètres!$B$21:$B$27)*(P14-Paramètres!$B$21:$B$27)*Paramètres!$E$21:$E$27)</f>
        <v>17359.6</v>
      </c>
      <c r="R14" s="57" t="n">
        <f aca="false">Q14*INDEX(Paramètres!$C$31:$C$38,MIN(MAX(INT(N(J14)),0),7)+1)</f>
        <v>0</v>
      </c>
      <c r="S14" s="60" t="n">
        <f aca="false">ROUND(Q14-R14,0)</f>
        <v>17360</v>
      </c>
      <c r="T14" s="57" t="n">
        <f aca="false">ROUND(N($E14)*Paramètres!$C$13,0)</f>
        <v>8582</v>
      </c>
      <c r="U14" s="57" t="n">
        <f aca="false">ROUND(MAX(0,N($E14)-(Q14-R14)-M14)*Paramètres!$C$12,0)</f>
        <v>2530</v>
      </c>
      <c r="V14" s="60" t="n">
        <f aca="false">ROUND(N($E14)-M14-S14-U14,0)</f>
        <v>250432</v>
      </c>
    </row>
    <row r="15" customFormat="false" ht="17.25" hidden="false" customHeight="true" outlineLevel="0" collapsed="false">
      <c r="B15" s="53" t="n">
        <v>9</v>
      </c>
      <c r="C15" s="54" t="s">
        <v>14</v>
      </c>
      <c r="D15" s="55" t="n">
        <v>46092</v>
      </c>
      <c r="E15" s="56" t="n">
        <f aca="false">'Jan-fév-mars-avril-mai-juin'!G13</f>
        <v>135983</v>
      </c>
      <c r="F15" s="57" t="n">
        <f aca="false">MIN(ROUNDDOWN(N($E15)*Paramètres!$C$16,0),Paramètres!$D$16)</f>
        <v>27196</v>
      </c>
      <c r="G15" s="57" t="n">
        <f aca="false">MIN(ROUNDDOWN(N($E15)*Paramètres!$C$17,0),Paramètres!$D$17)</f>
        <v>6799</v>
      </c>
      <c r="H15" s="57" t="n">
        <f aca="false">MIN(ROUNDDOWN(N($E15)*Paramètres!$C$18,0),Paramètres!$D$18)</f>
        <v>6799</v>
      </c>
      <c r="I15" s="57" t="n">
        <f aca="false">N($E15)-(F15+G15+H15)</f>
        <v>95189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40794</v>
      </c>
      <c r="M15" s="57" t="n">
        <f aca="false">MIN(N($E15),Paramètres!$C$7)*Paramètres!$C$6</f>
        <v>7479.065</v>
      </c>
      <c r="N15" s="57" t="n">
        <f aca="false">MIN(M15,I15*Paramètres!$C$8)</f>
        <v>7479.065</v>
      </c>
      <c r="O15" s="57" t="n">
        <f aca="false">I15*IF(K15="Cadre supérieur",Paramètres!$C$10,Paramètres!$C$9)</f>
        <v>23797.25</v>
      </c>
      <c r="P15" s="57" t="n">
        <f aca="false">MAX(0,ROUNDDOWN(N($E15)-L15-N15-O15,-2))</f>
        <v>63900</v>
      </c>
      <c r="Q15" s="57" t="n">
        <f aca="false">SUMPRODUCT((P15&gt;Paramètres!$B$21:$B$27)*(P15-Paramètres!$B$21:$B$27)*Paramètres!$E$21:$E$27)</f>
        <v>4352.1</v>
      </c>
      <c r="R15" s="57" t="n">
        <f aca="false">Q15*INDEX(Paramètres!$C$31:$C$38,MIN(MAX(INT(N(J15)),0),7)+1)</f>
        <v>0</v>
      </c>
      <c r="S15" s="60" t="n">
        <f aca="false">ROUND(Q15-R15,0)</f>
        <v>4352</v>
      </c>
      <c r="T15" s="57" t="n">
        <f aca="false">ROUND(N($E15)*Paramètres!$C$13,0)</f>
        <v>4079</v>
      </c>
      <c r="U15" s="57" t="n">
        <f aca="false">ROUND(MAX(0,N($E15)-(Q15-R15)-M15)*Paramètres!$C$12,0)</f>
        <v>1242</v>
      </c>
      <c r="V15" s="60" t="n">
        <f aca="false">ROUND(N($E15)-M15-S15-U15,0)</f>
        <v>122910</v>
      </c>
    </row>
    <row r="16" customFormat="false" ht="21.75" hidden="false" customHeight="true" outlineLevel="0" collapsed="false">
      <c r="B16" s="61" t="s">
        <v>15</v>
      </c>
      <c r="C16" s="61"/>
      <c r="D16" s="61"/>
      <c r="E16" s="62" t="n">
        <f aca="false">SUM(E7:E15)</f>
        <v>1586778</v>
      </c>
      <c r="F16" s="62" t="n">
        <f aca="false">SUM(F7:F15)</f>
        <v>317353</v>
      </c>
      <c r="G16" s="62" t="n">
        <f aca="false">SUM(G7:G15)</f>
        <v>79335</v>
      </c>
      <c r="H16" s="62" t="n">
        <f aca="false">SUM(H7:H15)</f>
        <v>79335</v>
      </c>
      <c r="I16" s="62" t="n">
        <f aca="false">SUM(I7:I15)</f>
        <v>1110755</v>
      </c>
      <c r="L16" s="62" t="n">
        <f aca="false">SUM(L7:L15)</f>
        <v>476023</v>
      </c>
      <c r="M16" s="62" t="n">
        <f aca="false">SUM(M7:M15)</f>
        <v>87272.79</v>
      </c>
      <c r="N16" s="62" t="n">
        <f aca="false">SUM(N7:N15)</f>
        <v>87272.79</v>
      </c>
      <c r="O16" s="62" t="n">
        <f aca="false">SUM(O7:O15)</f>
        <v>241860.05</v>
      </c>
      <c r="P16" s="62" t="n">
        <f aca="false">SUM(P7:P15)</f>
        <v>781300</v>
      </c>
      <c r="Q16" s="62" t="n">
        <f aca="false">SUM(Q7:Q15)</f>
        <v>82481.5</v>
      </c>
      <c r="R16" s="62" t="n">
        <f aca="false">SUM(R7:R15)</f>
        <v>0</v>
      </c>
      <c r="S16" s="63" t="n">
        <f aca="false">SUM(S7:S15)</f>
        <v>82482</v>
      </c>
      <c r="T16" s="62" t="n">
        <f aca="false">SUM(T7:T15)</f>
        <v>47603</v>
      </c>
      <c r="U16" s="62" t="n">
        <f aca="false">SUM(U7:U15)</f>
        <v>14170</v>
      </c>
      <c r="V16" s="63" t="n">
        <f aca="false">SUM(V7:V15)</f>
        <v>1402853</v>
      </c>
    </row>
    <row r="17" customFormat="false" ht="21.75" hidden="false" customHeight="true" outlineLevel="0" collapsed="false">
      <c r="B17" s="64" t="s">
        <v>125</v>
      </c>
      <c r="C17" s="64"/>
      <c r="D17" s="64"/>
      <c r="E17" s="65" t="n">
        <f aca="false">Février!E17+E16</f>
        <v>3513234</v>
      </c>
      <c r="S17" s="66" t="n">
        <f aca="false">Février!S17+S16</f>
        <v>188318</v>
      </c>
      <c r="T17" s="65" t="n">
        <f aca="false">Février!T17+T16</f>
        <v>105397</v>
      </c>
      <c r="U17" s="65" t="n">
        <f aca="false">Février!U17+U16</f>
        <v>31318</v>
      </c>
      <c r="V17" s="66" t="n">
        <f aca="false">Février!V17+V16</f>
        <v>3100369</v>
      </c>
    </row>
    <row r="19" customFormat="false" ht="15" hidden="false" customHeight="false" outlineLevel="0" collapsed="false">
      <c r="C19" s="67" t="s">
        <v>126</v>
      </c>
    </row>
    <row r="20" customFormat="false" ht="15" hidden="false" customHeight="false" outlineLevel="0" collapsed="false">
      <c r="C20" s="68" t="s">
        <v>127</v>
      </c>
    </row>
    <row r="21" customFormat="false" ht="15" hidden="false" customHeight="false" outlineLevel="0" collapsed="false">
      <c r="C21" s="68" t="s">
        <v>128</v>
      </c>
    </row>
    <row r="22" customFormat="false" ht="15" hidden="false" customHeight="false" outlineLevel="0" collapsed="false">
      <c r="C22" s="68" t="s">
        <v>129</v>
      </c>
    </row>
    <row r="23" customFormat="false" ht="15" hidden="false" customHeight="false" outlineLevel="0" collapsed="false">
      <c r="C23" s="68" t="s">
        <v>130</v>
      </c>
    </row>
    <row r="24" customFormat="false" ht="15" hidden="false" customHeight="false" outlineLevel="0" collapsed="false">
      <c r="C24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136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137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6</v>
      </c>
      <c r="D7" s="55" t="n">
        <v>45881</v>
      </c>
      <c r="E7" s="56" t="n">
        <f aca="false">'Jan-fév-mars-avril-mai-juin'!H5</f>
        <v>225778</v>
      </c>
      <c r="F7" s="57" t="n">
        <f aca="false">MIN(ROUNDDOWN(N($E7)*Paramètres!$C$16,0),Paramètres!$D$16)</f>
        <v>45155</v>
      </c>
      <c r="G7" s="57" t="n">
        <f aca="false">MIN(ROUNDDOWN(N($E7)*Paramètres!$C$17,0),Paramètres!$D$17)</f>
        <v>11288</v>
      </c>
      <c r="H7" s="57" t="n">
        <f aca="false">MIN(ROUNDDOWN(N($E7)*Paramètres!$C$18,0),Paramètres!$D$18)</f>
        <v>11288</v>
      </c>
      <c r="I7" s="57" t="n">
        <f aca="false">N($E7)-(F7+G7+H7)</f>
        <v>158047</v>
      </c>
      <c r="J7" s="58" t="n">
        <v>0</v>
      </c>
      <c r="K7" s="59" t="str">
        <f aca="false">IF(I7&lt;Paramètres!$C$11,"Cadre inférieur","Cadre supérieur")</f>
        <v>Cadre supérieur</v>
      </c>
      <c r="L7" s="57" t="n">
        <f aca="false">MIN(F7,MIN(N($E7)*Paramètres!$C$16,Paramètres!$D$16))+MIN(G7,MIN(N($E7)*Paramètres!$C$17,Paramètres!$D$17))+MIN(H7,MIN(N($E7)*Paramètres!$C$18,Paramètres!$D$18))</f>
        <v>67731</v>
      </c>
      <c r="M7" s="57" t="n">
        <f aca="false">MIN(N($E7),Paramètres!$C$7)*Paramètres!$C$6</f>
        <v>12417.79</v>
      </c>
      <c r="N7" s="57" t="n">
        <f aca="false">MIN(M7,I7*Paramètres!$C$8)</f>
        <v>12417.79</v>
      </c>
      <c r="O7" s="57" t="n">
        <f aca="false">I7*IF(K7="Cadre supérieur",Paramètres!$C$10,Paramètres!$C$9)</f>
        <v>31609.4</v>
      </c>
      <c r="P7" s="57" t="n">
        <f aca="false">MAX(0,ROUNDDOWN(N($E7)-L7-N7-O7,-2))</f>
        <v>114000</v>
      </c>
      <c r="Q7" s="57" t="n">
        <f aca="false">SUMPRODUCT((P7&gt;Paramètres!$B$21:$B$27)*(P7-Paramètres!$B$21:$B$27)*Paramètres!$E$21:$E$27)</f>
        <v>11928</v>
      </c>
      <c r="R7" s="57" t="n">
        <f aca="false">Q7*INDEX(Paramètres!$C$31:$C$38,MIN(MAX(INT(N(J7)),0),7)+1)</f>
        <v>0</v>
      </c>
      <c r="S7" s="60" t="n">
        <f aca="false">ROUND(Q7-R7,0)</f>
        <v>11928</v>
      </c>
      <c r="T7" s="57" t="n">
        <f aca="false">ROUND(N($E7)*Paramètres!$C$13,0)</f>
        <v>6773</v>
      </c>
      <c r="U7" s="57" t="n">
        <f aca="false">ROUND(MAX(0,N($E7)-(Q7-R7)-M7)*Paramètres!$C$12,0)</f>
        <v>2014</v>
      </c>
      <c r="V7" s="60" t="n">
        <f aca="false">ROUND(N($E7)-M7-S7-U7,0)</f>
        <v>199418</v>
      </c>
    </row>
    <row r="8" customFormat="false" ht="17.25" hidden="false" customHeight="true" outlineLevel="0" collapsed="false">
      <c r="B8" s="53" t="n">
        <v>2</v>
      </c>
      <c r="C8" s="54" t="s">
        <v>7</v>
      </c>
      <c r="D8" s="55" t="n">
        <v>45778</v>
      </c>
      <c r="E8" s="56" t="n">
        <f aca="false">'Jan-fév-mars-avril-mai-juin'!H6</f>
        <v>213563</v>
      </c>
      <c r="F8" s="57" t="n">
        <f aca="false">MIN(ROUNDDOWN(N($E8)*Paramètres!$C$16,0),Paramètres!$D$16)</f>
        <v>42712</v>
      </c>
      <c r="G8" s="57" t="n">
        <f aca="false">MIN(ROUNDDOWN(N($E8)*Paramètres!$C$17,0),Paramètres!$D$17)</f>
        <v>10678</v>
      </c>
      <c r="H8" s="57" t="n">
        <f aca="false">MIN(ROUNDDOWN(N($E8)*Paramètres!$C$18,0),Paramètres!$D$18)</f>
        <v>10678</v>
      </c>
      <c r="I8" s="57" t="n">
        <f aca="false">N($E8)-(F8+G8+H8)</f>
        <v>149495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64068</v>
      </c>
      <c r="M8" s="57" t="n">
        <f aca="false">MIN(N($E8),Paramètres!$C$7)*Paramètres!$C$6</f>
        <v>11745.965</v>
      </c>
      <c r="N8" s="57" t="n">
        <f aca="false">MIN(M8,I8*Paramètres!$C$8)</f>
        <v>11745.965</v>
      </c>
      <c r="O8" s="57" t="n">
        <f aca="false">I8*IF(K8="Cadre supérieur",Paramètres!$C$10,Paramètres!$C$9)</f>
        <v>37373.75</v>
      </c>
      <c r="P8" s="57" t="n">
        <f aca="false">MAX(0,ROUNDDOWN(N($E8)-L8-N8-O8,-2))</f>
        <v>100300</v>
      </c>
      <c r="Q8" s="57" t="n">
        <f aca="false">SUMPRODUCT((P8&gt;Paramètres!$B$21:$B$27)*(P8-Paramètres!$B$21:$B$27)*Paramètres!$E$21:$E$27)</f>
        <v>9777.1</v>
      </c>
      <c r="R8" s="57" t="n">
        <f aca="false">Q8*INDEX(Paramètres!$C$31:$C$38,MIN(MAX(INT(N(J8)),0),7)+1)</f>
        <v>0</v>
      </c>
      <c r="S8" s="60" t="n">
        <f aca="false">ROUND(Q8-R8,0)</f>
        <v>9777</v>
      </c>
      <c r="T8" s="57" t="n">
        <f aca="false">ROUND(N($E8)*Paramètres!$C$13,0)</f>
        <v>6407</v>
      </c>
      <c r="U8" s="57" t="n">
        <f aca="false">ROUND(MAX(0,N($E8)-(Q8-R8)-M8)*Paramètres!$C$12,0)</f>
        <v>1920</v>
      </c>
      <c r="V8" s="60" t="n">
        <f aca="false">ROUND(N($E8)-M8-S8-U8,0)</f>
        <v>190120</v>
      </c>
    </row>
    <row r="9" customFormat="false" ht="17.25" hidden="false" customHeight="true" outlineLevel="0" collapsed="false">
      <c r="B9" s="53" t="n">
        <v>3</v>
      </c>
      <c r="C9" s="54" t="s">
        <v>8</v>
      </c>
      <c r="D9" s="55" t="n">
        <v>45912</v>
      </c>
      <c r="E9" s="56" t="n">
        <f aca="false">'Jan-fév-mars-avril-mai-juin'!H7</f>
        <v>213566</v>
      </c>
      <c r="F9" s="57" t="n">
        <f aca="false">MIN(ROUNDDOWN(N($E9)*Paramètres!$C$16,0),Paramètres!$D$16)</f>
        <v>42713</v>
      </c>
      <c r="G9" s="57" t="n">
        <f aca="false">MIN(ROUNDDOWN(N($E9)*Paramètres!$C$17,0),Paramètres!$D$17)</f>
        <v>10678</v>
      </c>
      <c r="H9" s="57" t="n">
        <f aca="false">MIN(ROUNDDOWN(N($E9)*Paramètres!$C$18,0),Paramètres!$D$18)</f>
        <v>10678</v>
      </c>
      <c r="I9" s="57" t="n">
        <f aca="false">N($E9)-(F9+G9+H9)</f>
        <v>149497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64069</v>
      </c>
      <c r="M9" s="57" t="n">
        <f aca="false">MIN(N($E9),Paramètres!$C$7)*Paramètres!$C$6</f>
        <v>11746.13</v>
      </c>
      <c r="N9" s="57" t="n">
        <f aca="false">MIN(M9,I9*Paramètres!$C$8)</f>
        <v>11746.13</v>
      </c>
      <c r="O9" s="57" t="n">
        <f aca="false">I9*IF(K9="Cadre supérieur",Paramètres!$C$10,Paramètres!$C$9)</f>
        <v>37374.25</v>
      </c>
      <c r="P9" s="57" t="n">
        <f aca="false">MAX(0,ROUNDDOWN(N($E9)-L9-N9-O9,-2))</f>
        <v>100300</v>
      </c>
      <c r="Q9" s="57" t="n">
        <f aca="false">SUMPRODUCT((P9&gt;Paramètres!$B$21:$B$27)*(P9-Paramètres!$B$21:$B$27)*Paramètres!$E$21:$E$27)</f>
        <v>9777.1</v>
      </c>
      <c r="R9" s="57" t="n">
        <f aca="false">Q9*INDEX(Paramètres!$C$31:$C$38,MIN(MAX(INT(N(J9)),0),7)+1)</f>
        <v>0</v>
      </c>
      <c r="S9" s="60" t="n">
        <f aca="false">ROUND(Q9-R9,0)</f>
        <v>9777</v>
      </c>
      <c r="T9" s="57" t="n">
        <f aca="false">ROUND(N($E9)*Paramètres!$C$13,0)</f>
        <v>6407</v>
      </c>
      <c r="U9" s="57" t="n">
        <f aca="false">ROUND(MAX(0,N($E9)-(Q9-R9)-M9)*Paramètres!$C$12,0)</f>
        <v>1920</v>
      </c>
      <c r="V9" s="60" t="n">
        <f aca="false">ROUND(N($E9)-M9-S9-U9,0)</f>
        <v>190123</v>
      </c>
    </row>
    <row r="10" customFormat="false" ht="17.25" hidden="false" customHeight="true" outlineLevel="0" collapsed="false">
      <c r="B10" s="53" t="n">
        <v>4</v>
      </c>
      <c r="C10" s="54" t="s">
        <v>9</v>
      </c>
      <c r="D10" s="55" t="n">
        <v>45778</v>
      </c>
      <c r="E10" s="56" t="n">
        <f aca="false">'Jan-fév-mars-avril-mai-juin'!H8</f>
        <v>213566</v>
      </c>
      <c r="F10" s="57" t="n">
        <f aca="false">MIN(ROUNDDOWN(N($E10)*Paramètres!$C$16,0),Paramètres!$D$16)</f>
        <v>42713</v>
      </c>
      <c r="G10" s="57" t="n">
        <f aca="false">MIN(ROUNDDOWN(N($E10)*Paramètres!$C$17,0),Paramètres!$D$17)</f>
        <v>10678</v>
      </c>
      <c r="H10" s="57" t="n">
        <f aca="false">MIN(ROUNDDOWN(N($E10)*Paramètres!$C$18,0),Paramètres!$D$18)</f>
        <v>10678</v>
      </c>
      <c r="I10" s="57" t="n">
        <f aca="false">N($E10)-(F10+G10+H10)</f>
        <v>149497</v>
      </c>
      <c r="J10" s="58" t="n">
        <v>0</v>
      </c>
      <c r="K10" s="59" t="str">
        <f aca="false">IF(I10&lt;Paramètres!$C$11,"Cadre inférieur","Cadre supérieur")</f>
        <v>Cadre inférieur</v>
      </c>
      <c r="L10" s="57" t="n">
        <f aca="false">MIN(F10,MIN(N($E10)*Paramètres!$C$16,Paramètres!$D$16))+MIN(G10,MIN(N($E10)*Paramètres!$C$17,Paramètres!$D$17))+MIN(H10,MIN(N($E10)*Paramètres!$C$18,Paramètres!$D$18))</f>
        <v>64069</v>
      </c>
      <c r="M10" s="57" t="n">
        <f aca="false">MIN(N($E10),Paramètres!$C$7)*Paramètres!$C$6</f>
        <v>11746.13</v>
      </c>
      <c r="N10" s="57" t="n">
        <f aca="false">MIN(M10,I10*Paramètres!$C$8)</f>
        <v>11746.13</v>
      </c>
      <c r="O10" s="57" t="n">
        <f aca="false">I10*IF(K10="Cadre supérieur",Paramètres!$C$10,Paramètres!$C$9)</f>
        <v>37374.25</v>
      </c>
      <c r="P10" s="57" t="n">
        <f aca="false">MAX(0,ROUNDDOWN(N($E10)-L10-N10-O10,-2))</f>
        <v>100300</v>
      </c>
      <c r="Q10" s="57" t="n">
        <f aca="false">SUMPRODUCT((P10&gt;Paramètres!$B$21:$B$27)*(P10-Paramètres!$B$21:$B$27)*Paramètres!$E$21:$E$27)</f>
        <v>9777.1</v>
      </c>
      <c r="R10" s="57" t="n">
        <f aca="false">Q10*INDEX(Paramètres!$C$31:$C$38,MIN(MAX(INT(N(J10)),0),7)+1)</f>
        <v>0</v>
      </c>
      <c r="S10" s="60" t="n">
        <f aca="false">ROUND(Q10-R10,0)</f>
        <v>9777</v>
      </c>
      <c r="T10" s="57" t="n">
        <f aca="false">ROUND(N($E10)*Paramètres!$C$13,0)</f>
        <v>6407</v>
      </c>
      <c r="U10" s="57" t="n">
        <f aca="false">ROUND(MAX(0,N($E10)-(Q10-R10)-M10)*Paramètres!$C$12,0)</f>
        <v>1920</v>
      </c>
      <c r="V10" s="60" t="n">
        <f aca="false">ROUND(N($E10)-M10-S10-U10,0)</f>
        <v>190123</v>
      </c>
    </row>
    <row r="11" customFormat="false" ht="17.25" hidden="false" customHeight="true" outlineLevel="0" collapsed="false">
      <c r="B11" s="53" t="n">
        <v>5</v>
      </c>
      <c r="C11" s="54" t="s">
        <v>10</v>
      </c>
      <c r="D11" s="55" t="n">
        <v>46000</v>
      </c>
      <c r="E11" s="56" t="n">
        <f aca="false">'Jan-fév-mars-avril-mai-juin'!H9</f>
        <v>177387</v>
      </c>
      <c r="F11" s="57" t="n">
        <f aca="false">MIN(ROUNDDOWN(N($E11)*Paramètres!$C$16,0),Paramètres!$D$16)</f>
        <v>35477</v>
      </c>
      <c r="G11" s="57" t="n">
        <f aca="false">MIN(ROUNDDOWN(N($E11)*Paramètres!$C$17,0),Paramètres!$D$17)</f>
        <v>8869</v>
      </c>
      <c r="H11" s="57" t="n">
        <f aca="false">MIN(ROUNDDOWN(N($E11)*Paramètres!$C$18,0),Paramètres!$D$18)</f>
        <v>8869</v>
      </c>
      <c r="I11" s="57" t="n">
        <f aca="false">N($E11)-(F11+G11+H11)</f>
        <v>124172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53215</v>
      </c>
      <c r="M11" s="57" t="n">
        <f aca="false">MIN(N($E11),Paramètres!$C$7)*Paramètres!$C$6</f>
        <v>9756.285</v>
      </c>
      <c r="N11" s="57" t="n">
        <f aca="false">MIN(M11,I11*Paramètres!$C$8)</f>
        <v>9756.285</v>
      </c>
      <c r="O11" s="57" t="n">
        <f aca="false">I11*IF(K11="Cadre supérieur",Paramètres!$C$10,Paramètres!$C$9)</f>
        <v>31043</v>
      </c>
      <c r="P11" s="57" t="n">
        <f aca="false">MAX(0,ROUNDDOWN(N($E11)-L11-N11-O11,-2))</f>
        <v>83300</v>
      </c>
      <c r="Q11" s="57" t="n">
        <f aca="false">SUMPRODUCT((P11&gt;Paramètres!$B$21:$B$27)*(P11-Paramètres!$B$21:$B$27)*Paramètres!$E$21:$E$27)</f>
        <v>7108.1</v>
      </c>
      <c r="R11" s="57" t="n">
        <f aca="false">Q11*INDEX(Paramètres!$C$31:$C$38,MIN(MAX(INT(N(J11)),0),7)+1)</f>
        <v>0</v>
      </c>
      <c r="S11" s="60" t="n">
        <f aca="false">ROUND(Q11-R11,0)</f>
        <v>7108</v>
      </c>
      <c r="T11" s="57" t="n">
        <f aca="false">ROUND(N($E11)*Paramètres!$C$13,0)</f>
        <v>5322</v>
      </c>
      <c r="U11" s="57" t="n">
        <f aca="false">ROUND(MAX(0,N($E11)-(Q11-R11)-M11)*Paramètres!$C$12,0)</f>
        <v>1605</v>
      </c>
      <c r="V11" s="60" t="n">
        <f aca="false">ROUND(N($E11)-M11-S11-U11,0)</f>
        <v>158918</v>
      </c>
    </row>
    <row r="12" customFormat="false" ht="17.25" hidden="false" customHeight="true" outlineLevel="0" collapsed="false">
      <c r="B12" s="53" t="n">
        <v>6</v>
      </c>
      <c r="C12" s="54" t="s">
        <v>11</v>
      </c>
      <c r="D12" s="55" t="n">
        <v>45778</v>
      </c>
      <c r="E12" s="56" t="n">
        <f aca="false">'Jan-fév-mars-avril-mai-juin'!H10</f>
        <v>225778</v>
      </c>
      <c r="F12" s="57" t="n">
        <f aca="false">MIN(ROUNDDOWN(N($E12)*Paramètres!$C$16,0),Paramètres!$D$16)</f>
        <v>45155</v>
      </c>
      <c r="G12" s="57" t="n">
        <f aca="false">MIN(ROUNDDOWN(N($E12)*Paramètres!$C$17,0),Paramètres!$D$17)</f>
        <v>11288</v>
      </c>
      <c r="H12" s="57" t="n">
        <f aca="false">MIN(ROUNDDOWN(N($E12)*Paramètres!$C$18,0),Paramètres!$D$18)</f>
        <v>11288</v>
      </c>
      <c r="I12" s="57" t="n">
        <f aca="false">N($E12)-(F12+G12+H12)</f>
        <v>158047</v>
      </c>
      <c r="J12" s="58" t="n">
        <v>0</v>
      </c>
      <c r="K12" s="59" t="str">
        <f aca="false">IF(I12&lt;Paramètres!$C$11,"Cadre inférieur","Cadre supérieur")</f>
        <v>Cadre supérieur</v>
      </c>
      <c r="L12" s="57" t="n">
        <f aca="false">MIN(F12,MIN(N($E12)*Paramètres!$C$16,Paramètres!$D$16))+MIN(G12,MIN(N($E12)*Paramètres!$C$17,Paramètres!$D$17))+MIN(H12,MIN(N($E12)*Paramètres!$C$18,Paramètres!$D$18))</f>
        <v>67731</v>
      </c>
      <c r="M12" s="57" t="n">
        <f aca="false">MIN(N($E12),Paramètres!$C$7)*Paramètres!$C$6</f>
        <v>12417.79</v>
      </c>
      <c r="N12" s="57" t="n">
        <f aca="false">MIN(M12,I12*Paramètres!$C$8)</f>
        <v>12417.79</v>
      </c>
      <c r="O12" s="57" t="n">
        <f aca="false">I12*IF(K12="Cadre supérieur",Paramètres!$C$10,Paramètres!$C$9)</f>
        <v>31609.4</v>
      </c>
      <c r="P12" s="57" t="n">
        <f aca="false">MAX(0,ROUNDDOWN(N($E12)-L12-N12-O12,-2))</f>
        <v>114000</v>
      </c>
      <c r="Q12" s="57" t="n">
        <f aca="false">SUMPRODUCT((P12&gt;Paramètres!$B$21:$B$27)*(P12-Paramètres!$B$21:$B$27)*Paramètres!$E$21:$E$27)</f>
        <v>11928</v>
      </c>
      <c r="R12" s="57" t="n">
        <f aca="false">Q12*INDEX(Paramètres!$C$31:$C$38,MIN(MAX(INT(N(J12)),0),7)+1)</f>
        <v>0</v>
      </c>
      <c r="S12" s="60" t="n">
        <f aca="false">ROUND(Q12-R12,0)</f>
        <v>11928</v>
      </c>
      <c r="T12" s="57" t="n">
        <f aca="false">ROUND(N($E12)*Paramètres!$C$13,0)</f>
        <v>6773</v>
      </c>
      <c r="U12" s="57" t="n">
        <f aca="false">ROUND(MAX(0,N($E12)-(Q12-R12)-M12)*Paramètres!$C$12,0)</f>
        <v>2014</v>
      </c>
      <c r="V12" s="60" t="n">
        <f aca="false">ROUND(N($E12)-M12-S12-U12,0)</f>
        <v>199418</v>
      </c>
    </row>
    <row r="13" customFormat="false" ht="17.25" hidden="false" customHeight="true" outlineLevel="0" collapsed="false">
      <c r="B13" s="53" t="n">
        <v>7</v>
      </c>
      <c r="C13" s="54" t="s">
        <v>12</v>
      </c>
      <c r="D13" s="55" t="n">
        <v>45677</v>
      </c>
      <c r="E13" s="56" t="n">
        <f aca="false">'Jan-fév-mars-avril-mai-juin'!H11</f>
        <v>286055</v>
      </c>
      <c r="F13" s="57" t="n">
        <f aca="false">MIN(ROUNDDOWN(N($E13)*Paramètres!$C$16,0),Paramètres!$D$16)</f>
        <v>57211</v>
      </c>
      <c r="G13" s="57" t="n">
        <f aca="false">MIN(ROUNDDOWN(N($E13)*Paramètres!$C$17,0),Paramètres!$D$17)</f>
        <v>14302</v>
      </c>
      <c r="H13" s="57" t="n">
        <f aca="false">MIN(ROUNDDOWN(N($E13)*Paramètres!$C$18,0),Paramètres!$D$18)</f>
        <v>14302</v>
      </c>
      <c r="I13" s="57" t="n">
        <f aca="false">N($E13)-(F13+G13+H13)</f>
        <v>200240</v>
      </c>
      <c r="J13" s="58" t="n">
        <v>0</v>
      </c>
      <c r="K13" s="59" t="str">
        <f aca="false">IF(I13&lt;Paramètres!$C$11,"Cadre inférieur","Cadre supérieur")</f>
        <v>Cadre supérieur</v>
      </c>
      <c r="L13" s="57" t="n">
        <f aca="false">MIN(F13,MIN(N($E13)*Paramètres!$C$16,Paramètres!$D$16))+MIN(G13,MIN(N($E13)*Paramètres!$C$17,Paramètres!$D$17))+MIN(H13,MIN(N($E13)*Paramètres!$C$18,Paramètres!$D$18))</f>
        <v>85815</v>
      </c>
      <c r="M13" s="57" t="n">
        <f aca="false">MIN(N($E13),Paramètres!$C$7)*Paramètres!$C$6</f>
        <v>15733.025</v>
      </c>
      <c r="N13" s="57" t="n">
        <f aca="false">MIN(M13,I13*Paramètres!$C$8)</f>
        <v>15733.025</v>
      </c>
      <c r="O13" s="57" t="n">
        <f aca="false">I13*IF(K13="Cadre supérieur",Paramètres!$C$10,Paramètres!$C$9)</f>
        <v>40048</v>
      </c>
      <c r="P13" s="57" t="n">
        <f aca="false">MAX(0,ROUNDDOWN(N($E13)-L13-N13-O13,-2))</f>
        <v>144400</v>
      </c>
      <c r="Q13" s="57" t="n">
        <f aca="false">SUMPRODUCT((P13&gt;Paramètres!$B$21:$B$27)*(P13-Paramètres!$B$21:$B$27)*Paramètres!$E$21:$E$27)</f>
        <v>17359.6</v>
      </c>
      <c r="R13" s="57" t="n">
        <f aca="false">Q13*INDEX(Paramètres!$C$31:$C$38,MIN(MAX(INT(N(J13)),0),7)+1)</f>
        <v>0</v>
      </c>
      <c r="S13" s="60" t="n">
        <f aca="false">ROUND(Q13-R13,0)</f>
        <v>17360</v>
      </c>
      <c r="T13" s="57" t="n">
        <f aca="false">ROUND(N($E13)*Paramètres!$C$13,0)</f>
        <v>8582</v>
      </c>
      <c r="U13" s="57" t="n">
        <f aca="false">ROUND(MAX(0,N($E13)-(Q13-R13)-M13)*Paramètres!$C$12,0)</f>
        <v>2530</v>
      </c>
      <c r="V13" s="60" t="n">
        <f aca="false">ROUND(N($E13)-M13-S13-U13,0)</f>
        <v>250432</v>
      </c>
    </row>
    <row r="14" customFormat="false" ht="17.25" hidden="false" customHeight="true" outlineLevel="0" collapsed="false">
      <c r="B14" s="53" t="n">
        <v>8</v>
      </c>
      <c r="C14" s="54" t="s">
        <v>13</v>
      </c>
      <c r="D14" s="55" t="n">
        <v>45677</v>
      </c>
      <c r="E14" s="56" t="n">
        <f aca="false">'Jan-fév-mars-avril-mai-juin'!H12</f>
        <v>286055</v>
      </c>
      <c r="F14" s="57" t="n">
        <f aca="false">MIN(ROUNDDOWN(N($E14)*Paramètres!$C$16,0),Paramètres!$D$16)</f>
        <v>57211</v>
      </c>
      <c r="G14" s="57" t="n">
        <f aca="false">MIN(ROUNDDOWN(N($E14)*Paramètres!$C$17,0),Paramètres!$D$17)</f>
        <v>14302</v>
      </c>
      <c r="H14" s="57" t="n">
        <f aca="false">MIN(ROUNDDOWN(N($E14)*Paramètres!$C$18,0),Paramètres!$D$18)</f>
        <v>14302</v>
      </c>
      <c r="I14" s="57" t="n">
        <f aca="false">N($E14)-(F14+G14+H14)</f>
        <v>200240</v>
      </c>
      <c r="J14" s="58" t="n">
        <v>0</v>
      </c>
      <c r="K14" s="59" t="str">
        <f aca="false">IF(I14&lt;Paramètres!$C$11,"Cadre inférieur","Cadre supérieur")</f>
        <v>Cadre supérieur</v>
      </c>
      <c r="L14" s="57" t="n">
        <f aca="false">MIN(F14,MIN(N($E14)*Paramètres!$C$16,Paramètres!$D$16))+MIN(G14,MIN(N($E14)*Paramètres!$C$17,Paramètres!$D$17))+MIN(H14,MIN(N($E14)*Paramètres!$C$18,Paramètres!$D$18))</f>
        <v>85815</v>
      </c>
      <c r="M14" s="57" t="n">
        <f aca="false">MIN(N($E14),Paramètres!$C$7)*Paramètres!$C$6</f>
        <v>15733.025</v>
      </c>
      <c r="N14" s="57" t="n">
        <f aca="false">MIN(M14,I14*Paramètres!$C$8)</f>
        <v>15733.025</v>
      </c>
      <c r="O14" s="57" t="n">
        <f aca="false">I14*IF(K14="Cadre supérieur",Paramètres!$C$10,Paramètres!$C$9)</f>
        <v>40048</v>
      </c>
      <c r="P14" s="57" t="n">
        <f aca="false">MAX(0,ROUNDDOWN(N($E14)-L14-N14-O14,-2))</f>
        <v>144400</v>
      </c>
      <c r="Q14" s="57" t="n">
        <f aca="false">SUMPRODUCT((P14&gt;Paramètres!$B$21:$B$27)*(P14-Paramètres!$B$21:$B$27)*Paramètres!$E$21:$E$27)</f>
        <v>17359.6</v>
      </c>
      <c r="R14" s="57" t="n">
        <f aca="false">Q14*INDEX(Paramètres!$C$31:$C$38,MIN(MAX(INT(N(J14)),0),7)+1)</f>
        <v>0</v>
      </c>
      <c r="S14" s="60" t="n">
        <f aca="false">ROUND(Q14-R14,0)</f>
        <v>17360</v>
      </c>
      <c r="T14" s="57" t="n">
        <f aca="false">ROUND(N($E14)*Paramètres!$C$13,0)</f>
        <v>8582</v>
      </c>
      <c r="U14" s="57" t="n">
        <f aca="false">ROUND(MAX(0,N($E14)-(Q14-R14)-M14)*Paramètres!$C$12,0)</f>
        <v>2530</v>
      </c>
      <c r="V14" s="60" t="n">
        <f aca="false">ROUND(N($E14)-M14-S14-U14,0)</f>
        <v>250432</v>
      </c>
    </row>
    <row r="15" customFormat="false" ht="17.25" hidden="false" customHeight="true" outlineLevel="0" collapsed="false">
      <c r="B15" s="53" t="n">
        <v>9</v>
      </c>
      <c r="C15" s="54" t="s">
        <v>14</v>
      </c>
      <c r="D15" s="55" t="n">
        <v>46092</v>
      </c>
      <c r="E15" s="56" t="n">
        <f aca="false">'Jan-fév-mars-avril-mai-juin'!H13</f>
        <v>135983</v>
      </c>
      <c r="F15" s="57" t="n">
        <f aca="false">MIN(ROUNDDOWN(N($E15)*Paramètres!$C$16,0),Paramètres!$D$16)</f>
        <v>27196</v>
      </c>
      <c r="G15" s="57" t="n">
        <f aca="false">MIN(ROUNDDOWN(N($E15)*Paramètres!$C$17,0),Paramètres!$D$17)</f>
        <v>6799</v>
      </c>
      <c r="H15" s="57" t="n">
        <f aca="false">MIN(ROUNDDOWN(N($E15)*Paramètres!$C$18,0),Paramètres!$D$18)</f>
        <v>6799</v>
      </c>
      <c r="I15" s="57" t="n">
        <f aca="false">N($E15)-(F15+G15+H15)</f>
        <v>95189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40794</v>
      </c>
      <c r="M15" s="57" t="n">
        <f aca="false">MIN(N($E15),Paramètres!$C$7)*Paramètres!$C$6</f>
        <v>7479.065</v>
      </c>
      <c r="N15" s="57" t="n">
        <f aca="false">MIN(M15,I15*Paramètres!$C$8)</f>
        <v>7479.065</v>
      </c>
      <c r="O15" s="57" t="n">
        <f aca="false">I15*IF(K15="Cadre supérieur",Paramètres!$C$10,Paramètres!$C$9)</f>
        <v>23797.25</v>
      </c>
      <c r="P15" s="57" t="n">
        <f aca="false">MAX(0,ROUNDDOWN(N($E15)-L15-N15-O15,-2))</f>
        <v>63900</v>
      </c>
      <c r="Q15" s="57" t="n">
        <f aca="false">SUMPRODUCT((P15&gt;Paramètres!$B$21:$B$27)*(P15-Paramètres!$B$21:$B$27)*Paramètres!$E$21:$E$27)</f>
        <v>4352.1</v>
      </c>
      <c r="R15" s="57" t="n">
        <f aca="false">Q15*INDEX(Paramètres!$C$31:$C$38,MIN(MAX(INT(N(J15)),0),7)+1)</f>
        <v>0</v>
      </c>
      <c r="S15" s="60" t="n">
        <f aca="false">ROUND(Q15-R15,0)</f>
        <v>4352</v>
      </c>
      <c r="T15" s="57" t="n">
        <f aca="false">ROUND(N($E15)*Paramètres!$C$13,0)</f>
        <v>4079</v>
      </c>
      <c r="U15" s="57" t="n">
        <f aca="false">ROUND(MAX(0,N($E15)-(Q15-R15)-M15)*Paramètres!$C$12,0)</f>
        <v>1242</v>
      </c>
      <c r="V15" s="60" t="n">
        <f aca="false">ROUND(N($E15)-M15-S15-U15,0)</f>
        <v>122910</v>
      </c>
    </row>
    <row r="16" customFormat="false" ht="21.75" hidden="false" customHeight="true" outlineLevel="0" collapsed="false">
      <c r="B16" s="61" t="s">
        <v>15</v>
      </c>
      <c r="C16" s="61"/>
      <c r="D16" s="61"/>
      <c r="E16" s="62" t="n">
        <f aca="false">SUM(E7:E15)</f>
        <v>1977731</v>
      </c>
      <c r="F16" s="62" t="n">
        <f aca="false">SUM(F7:F15)</f>
        <v>395543</v>
      </c>
      <c r="G16" s="62" t="n">
        <f aca="false">SUM(G7:G15)</f>
        <v>98882</v>
      </c>
      <c r="H16" s="62" t="n">
        <f aca="false">SUM(H7:H15)</f>
        <v>98882</v>
      </c>
      <c r="I16" s="62" t="n">
        <f aca="false">SUM(I7:I15)</f>
        <v>1384424</v>
      </c>
      <c r="L16" s="62" t="n">
        <f aca="false">SUM(L7:L15)</f>
        <v>593307</v>
      </c>
      <c r="M16" s="62" t="n">
        <f aca="false">SUM(M7:M15)</f>
        <v>108775.205</v>
      </c>
      <c r="N16" s="62" t="n">
        <f aca="false">SUM(N7:N15)</f>
        <v>108775.205</v>
      </c>
      <c r="O16" s="62" t="n">
        <f aca="false">SUM(O7:O15)</f>
        <v>310277.3</v>
      </c>
      <c r="P16" s="62" t="n">
        <f aca="false">SUM(P7:P15)</f>
        <v>964900</v>
      </c>
      <c r="Q16" s="62" t="n">
        <f aca="false">SUM(Q7:Q15)</f>
        <v>99366.7</v>
      </c>
      <c r="R16" s="62" t="n">
        <f aca="false">SUM(R7:R15)</f>
        <v>0</v>
      </c>
      <c r="S16" s="63" t="n">
        <f aca="false">SUM(S7:S15)</f>
        <v>99367</v>
      </c>
      <c r="T16" s="62" t="n">
        <f aca="false">SUM(T7:T15)</f>
        <v>59332</v>
      </c>
      <c r="U16" s="62" t="n">
        <f aca="false">SUM(U7:U15)</f>
        <v>17695</v>
      </c>
      <c r="V16" s="63" t="n">
        <f aca="false">SUM(V7:V15)</f>
        <v>1751894</v>
      </c>
    </row>
    <row r="17" customFormat="false" ht="21.75" hidden="false" customHeight="true" outlineLevel="0" collapsed="false">
      <c r="B17" s="64" t="s">
        <v>125</v>
      </c>
      <c r="C17" s="64"/>
      <c r="D17" s="64"/>
      <c r="E17" s="65" t="n">
        <f aca="false">Mars!E17+E16</f>
        <v>5490965</v>
      </c>
      <c r="S17" s="66" t="n">
        <f aca="false">Mars!S17+S16</f>
        <v>287685</v>
      </c>
      <c r="T17" s="65" t="n">
        <f aca="false">Mars!T17+T16</f>
        <v>164729</v>
      </c>
      <c r="U17" s="65" t="n">
        <f aca="false">Mars!U17+U16</f>
        <v>49013</v>
      </c>
      <c r="V17" s="66" t="n">
        <f aca="false">Mars!V17+V16</f>
        <v>4852263</v>
      </c>
    </row>
    <row r="19" customFormat="false" ht="15" hidden="false" customHeight="false" outlineLevel="0" collapsed="false">
      <c r="C19" s="67" t="s">
        <v>126</v>
      </c>
    </row>
    <row r="20" customFormat="false" ht="15" hidden="false" customHeight="false" outlineLevel="0" collapsed="false">
      <c r="C20" s="68" t="s">
        <v>127</v>
      </c>
    </row>
    <row r="21" customFormat="false" ht="15" hidden="false" customHeight="false" outlineLevel="0" collapsed="false">
      <c r="C21" s="68" t="s">
        <v>128</v>
      </c>
    </row>
    <row r="22" customFormat="false" ht="15" hidden="false" customHeight="false" outlineLevel="0" collapsed="false">
      <c r="C22" s="68" t="s">
        <v>129</v>
      </c>
    </row>
    <row r="23" customFormat="false" ht="15" hidden="false" customHeight="false" outlineLevel="0" collapsed="false">
      <c r="C23" s="68" t="s">
        <v>130</v>
      </c>
    </row>
    <row r="24" customFormat="false" ht="15" hidden="false" customHeight="false" outlineLevel="0" collapsed="false">
      <c r="C24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138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139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6</v>
      </c>
      <c r="D7" s="55" t="n">
        <v>45881</v>
      </c>
      <c r="E7" s="56" t="n">
        <f aca="false">'Jan-fév-mars-avril-mai-juin'!I5</f>
        <v>225778</v>
      </c>
      <c r="F7" s="57" t="n">
        <f aca="false">MIN(ROUNDDOWN(N($E7)*Paramètres!$C$16,0),Paramètres!$D$16)</f>
        <v>45155</v>
      </c>
      <c r="G7" s="57" t="n">
        <f aca="false">MIN(ROUNDDOWN(N($E7)*Paramètres!$C$17,0),Paramètres!$D$17)</f>
        <v>11288</v>
      </c>
      <c r="H7" s="57" t="n">
        <f aca="false">MIN(ROUNDDOWN(N($E7)*Paramètres!$C$18,0),Paramètres!$D$18)</f>
        <v>11288</v>
      </c>
      <c r="I7" s="57" t="n">
        <f aca="false">N($E7)-(F7+G7+H7)</f>
        <v>158047</v>
      </c>
      <c r="J7" s="58" t="n">
        <v>0</v>
      </c>
      <c r="K7" s="59" t="str">
        <f aca="false">IF(I7&lt;Paramètres!$C$11,"Cadre inférieur","Cadre supérieur")</f>
        <v>Cadre supérieur</v>
      </c>
      <c r="L7" s="57" t="n">
        <f aca="false">MIN(F7,MIN(N($E7)*Paramètres!$C$16,Paramètres!$D$16))+MIN(G7,MIN(N($E7)*Paramètres!$C$17,Paramètres!$D$17))+MIN(H7,MIN(N($E7)*Paramètres!$C$18,Paramètres!$D$18))</f>
        <v>67731</v>
      </c>
      <c r="M7" s="57" t="n">
        <f aca="false">MIN(N($E7),Paramètres!$C$7)*Paramètres!$C$6</f>
        <v>12417.79</v>
      </c>
      <c r="N7" s="57" t="n">
        <f aca="false">MIN(M7,I7*Paramètres!$C$8)</f>
        <v>12417.79</v>
      </c>
      <c r="O7" s="57" t="n">
        <f aca="false">I7*IF(K7="Cadre supérieur",Paramètres!$C$10,Paramètres!$C$9)</f>
        <v>31609.4</v>
      </c>
      <c r="P7" s="57" t="n">
        <f aca="false">MAX(0,ROUNDDOWN(N($E7)-L7-N7-O7,-2))</f>
        <v>114000</v>
      </c>
      <c r="Q7" s="57" t="n">
        <f aca="false">SUMPRODUCT((P7&gt;Paramètres!$B$21:$B$27)*(P7-Paramètres!$B$21:$B$27)*Paramètres!$E$21:$E$27)</f>
        <v>11928</v>
      </c>
      <c r="R7" s="57" t="n">
        <f aca="false">Q7*INDEX(Paramètres!$C$31:$C$38,MIN(MAX(INT(N(J7)),0),7)+1)</f>
        <v>0</v>
      </c>
      <c r="S7" s="60" t="n">
        <f aca="false">ROUND(Q7-R7,0)</f>
        <v>11928</v>
      </c>
      <c r="T7" s="57" t="n">
        <f aca="false">ROUND(N($E7)*Paramètres!$C$13,0)</f>
        <v>6773</v>
      </c>
      <c r="U7" s="57" t="n">
        <f aca="false">ROUND(MAX(0,N($E7)-(Q7-R7)-M7)*Paramètres!$C$12,0)</f>
        <v>2014</v>
      </c>
      <c r="V7" s="60" t="n">
        <f aca="false">ROUND(N($E7)-M7-S7-U7,0)</f>
        <v>199418</v>
      </c>
    </row>
    <row r="8" customFormat="false" ht="17.25" hidden="false" customHeight="true" outlineLevel="0" collapsed="false">
      <c r="B8" s="53" t="n">
        <v>2</v>
      </c>
      <c r="C8" s="54" t="s">
        <v>7</v>
      </c>
      <c r="D8" s="55" t="n">
        <v>45778</v>
      </c>
      <c r="E8" s="56" t="n">
        <f aca="false">'Jan-fév-mars-avril-mai-juin'!I6</f>
        <v>213563</v>
      </c>
      <c r="F8" s="57" t="n">
        <f aca="false">MIN(ROUNDDOWN(N($E8)*Paramètres!$C$16,0),Paramètres!$D$16)</f>
        <v>42712</v>
      </c>
      <c r="G8" s="57" t="n">
        <f aca="false">MIN(ROUNDDOWN(N($E8)*Paramètres!$C$17,0),Paramètres!$D$17)</f>
        <v>10678</v>
      </c>
      <c r="H8" s="57" t="n">
        <f aca="false">MIN(ROUNDDOWN(N($E8)*Paramètres!$C$18,0),Paramètres!$D$18)</f>
        <v>10678</v>
      </c>
      <c r="I8" s="57" t="n">
        <f aca="false">N($E8)-(F8+G8+H8)</f>
        <v>149495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64068</v>
      </c>
      <c r="M8" s="57" t="n">
        <f aca="false">MIN(N($E8),Paramètres!$C$7)*Paramètres!$C$6</f>
        <v>11745.965</v>
      </c>
      <c r="N8" s="57" t="n">
        <f aca="false">MIN(M8,I8*Paramètres!$C$8)</f>
        <v>11745.965</v>
      </c>
      <c r="O8" s="57" t="n">
        <f aca="false">I8*IF(K8="Cadre supérieur",Paramètres!$C$10,Paramètres!$C$9)</f>
        <v>37373.75</v>
      </c>
      <c r="P8" s="57" t="n">
        <f aca="false">MAX(0,ROUNDDOWN(N($E8)-L8-N8-O8,-2))</f>
        <v>100300</v>
      </c>
      <c r="Q8" s="57" t="n">
        <f aca="false">SUMPRODUCT((P8&gt;Paramètres!$B$21:$B$27)*(P8-Paramètres!$B$21:$B$27)*Paramètres!$E$21:$E$27)</f>
        <v>9777.1</v>
      </c>
      <c r="R8" s="57" t="n">
        <f aca="false">Q8*INDEX(Paramètres!$C$31:$C$38,MIN(MAX(INT(N(J8)),0),7)+1)</f>
        <v>0</v>
      </c>
      <c r="S8" s="60" t="n">
        <f aca="false">ROUND(Q8-R8,0)</f>
        <v>9777</v>
      </c>
      <c r="T8" s="57" t="n">
        <f aca="false">ROUND(N($E8)*Paramètres!$C$13,0)</f>
        <v>6407</v>
      </c>
      <c r="U8" s="57" t="n">
        <f aca="false">ROUND(MAX(0,N($E8)-(Q8-R8)-M8)*Paramètres!$C$12,0)</f>
        <v>1920</v>
      </c>
      <c r="V8" s="60" t="n">
        <f aca="false">ROUND(N($E8)-M8-S8-U8,0)</f>
        <v>190120</v>
      </c>
    </row>
    <row r="9" customFormat="false" ht="17.25" hidden="false" customHeight="true" outlineLevel="0" collapsed="false">
      <c r="B9" s="53" t="n">
        <v>3</v>
      </c>
      <c r="C9" s="54" t="s">
        <v>8</v>
      </c>
      <c r="D9" s="55" t="n">
        <v>45912</v>
      </c>
      <c r="E9" s="56" t="n">
        <f aca="false">'Jan-fév-mars-avril-mai-juin'!I7</f>
        <v>213566</v>
      </c>
      <c r="F9" s="57" t="n">
        <f aca="false">MIN(ROUNDDOWN(N($E9)*Paramètres!$C$16,0),Paramètres!$D$16)</f>
        <v>42713</v>
      </c>
      <c r="G9" s="57" t="n">
        <f aca="false">MIN(ROUNDDOWN(N($E9)*Paramètres!$C$17,0),Paramètres!$D$17)</f>
        <v>10678</v>
      </c>
      <c r="H9" s="57" t="n">
        <f aca="false">MIN(ROUNDDOWN(N($E9)*Paramètres!$C$18,0),Paramètres!$D$18)</f>
        <v>10678</v>
      </c>
      <c r="I9" s="57" t="n">
        <f aca="false">N($E9)-(F9+G9+H9)</f>
        <v>149497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64069</v>
      </c>
      <c r="M9" s="57" t="n">
        <f aca="false">MIN(N($E9),Paramètres!$C$7)*Paramètres!$C$6</f>
        <v>11746.13</v>
      </c>
      <c r="N9" s="57" t="n">
        <f aca="false">MIN(M9,I9*Paramètres!$C$8)</f>
        <v>11746.13</v>
      </c>
      <c r="O9" s="57" t="n">
        <f aca="false">I9*IF(K9="Cadre supérieur",Paramètres!$C$10,Paramètres!$C$9)</f>
        <v>37374.25</v>
      </c>
      <c r="P9" s="57" t="n">
        <f aca="false">MAX(0,ROUNDDOWN(N($E9)-L9-N9-O9,-2))</f>
        <v>100300</v>
      </c>
      <c r="Q9" s="57" t="n">
        <f aca="false">SUMPRODUCT((P9&gt;Paramètres!$B$21:$B$27)*(P9-Paramètres!$B$21:$B$27)*Paramètres!$E$21:$E$27)</f>
        <v>9777.1</v>
      </c>
      <c r="R9" s="57" t="n">
        <f aca="false">Q9*INDEX(Paramètres!$C$31:$C$38,MIN(MAX(INT(N(J9)),0),7)+1)</f>
        <v>0</v>
      </c>
      <c r="S9" s="60" t="n">
        <f aca="false">ROUND(Q9-R9,0)</f>
        <v>9777</v>
      </c>
      <c r="T9" s="57" t="n">
        <f aca="false">ROUND(N($E9)*Paramètres!$C$13,0)</f>
        <v>6407</v>
      </c>
      <c r="U9" s="57" t="n">
        <f aca="false">ROUND(MAX(0,N($E9)-(Q9-R9)-M9)*Paramètres!$C$12,0)</f>
        <v>1920</v>
      </c>
      <c r="V9" s="60" t="n">
        <f aca="false">ROUND(N($E9)-M9-S9-U9,0)</f>
        <v>190123</v>
      </c>
    </row>
    <row r="10" customFormat="false" ht="17.25" hidden="false" customHeight="true" outlineLevel="0" collapsed="false">
      <c r="B10" s="53" t="n">
        <v>4</v>
      </c>
      <c r="C10" s="54" t="s">
        <v>9</v>
      </c>
      <c r="D10" s="55" t="n">
        <v>45778</v>
      </c>
      <c r="E10" s="56" t="n">
        <f aca="false">'Jan-fév-mars-avril-mai-juin'!I8</f>
        <v>213566</v>
      </c>
      <c r="F10" s="57" t="n">
        <f aca="false">MIN(ROUNDDOWN(N($E10)*Paramètres!$C$16,0),Paramètres!$D$16)</f>
        <v>42713</v>
      </c>
      <c r="G10" s="57" t="n">
        <f aca="false">MIN(ROUNDDOWN(N($E10)*Paramètres!$C$17,0),Paramètres!$D$17)</f>
        <v>10678</v>
      </c>
      <c r="H10" s="57" t="n">
        <f aca="false">MIN(ROUNDDOWN(N($E10)*Paramètres!$C$18,0),Paramètres!$D$18)</f>
        <v>10678</v>
      </c>
      <c r="I10" s="57" t="n">
        <f aca="false">N($E10)-(F10+G10+H10)</f>
        <v>149497</v>
      </c>
      <c r="J10" s="58" t="n">
        <v>0</v>
      </c>
      <c r="K10" s="59" t="str">
        <f aca="false">IF(I10&lt;Paramètres!$C$11,"Cadre inférieur","Cadre supérieur")</f>
        <v>Cadre inférieur</v>
      </c>
      <c r="L10" s="57" t="n">
        <f aca="false">MIN(F10,MIN(N($E10)*Paramètres!$C$16,Paramètres!$D$16))+MIN(G10,MIN(N($E10)*Paramètres!$C$17,Paramètres!$D$17))+MIN(H10,MIN(N($E10)*Paramètres!$C$18,Paramètres!$D$18))</f>
        <v>64069</v>
      </c>
      <c r="M10" s="57" t="n">
        <f aca="false">MIN(N($E10),Paramètres!$C$7)*Paramètres!$C$6</f>
        <v>11746.13</v>
      </c>
      <c r="N10" s="57" t="n">
        <f aca="false">MIN(M10,I10*Paramètres!$C$8)</f>
        <v>11746.13</v>
      </c>
      <c r="O10" s="57" t="n">
        <f aca="false">I10*IF(K10="Cadre supérieur",Paramètres!$C$10,Paramètres!$C$9)</f>
        <v>37374.25</v>
      </c>
      <c r="P10" s="57" t="n">
        <f aca="false">MAX(0,ROUNDDOWN(N($E10)-L10-N10-O10,-2))</f>
        <v>100300</v>
      </c>
      <c r="Q10" s="57" t="n">
        <f aca="false">SUMPRODUCT((P10&gt;Paramètres!$B$21:$B$27)*(P10-Paramètres!$B$21:$B$27)*Paramètres!$E$21:$E$27)</f>
        <v>9777.1</v>
      </c>
      <c r="R10" s="57" t="n">
        <f aca="false">Q10*INDEX(Paramètres!$C$31:$C$38,MIN(MAX(INT(N(J10)),0),7)+1)</f>
        <v>0</v>
      </c>
      <c r="S10" s="60" t="n">
        <f aca="false">ROUND(Q10-R10,0)</f>
        <v>9777</v>
      </c>
      <c r="T10" s="57" t="n">
        <f aca="false">ROUND(N($E10)*Paramètres!$C$13,0)</f>
        <v>6407</v>
      </c>
      <c r="U10" s="57" t="n">
        <f aca="false">ROUND(MAX(0,N($E10)-(Q10-R10)-M10)*Paramètres!$C$12,0)</f>
        <v>1920</v>
      </c>
      <c r="V10" s="60" t="n">
        <f aca="false">ROUND(N($E10)-M10-S10-U10,0)</f>
        <v>190123</v>
      </c>
    </row>
    <row r="11" customFormat="false" ht="17.25" hidden="false" customHeight="true" outlineLevel="0" collapsed="false">
      <c r="B11" s="53" t="n">
        <v>5</v>
      </c>
      <c r="C11" s="54" t="s">
        <v>10</v>
      </c>
      <c r="D11" s="55" t="n">
        <v>46000</v>
      </c>
      <c r="E11" s="56" t="n">
        <f aca="false">'Jan-fév-mars-avril-mai-juin'!I9</f>
        <v>177387</v>
      </c>
      <c r="F11" s="57" t="n">
        <f aca="false">MIN(ROUNDDOWN(N($E11)*Paramètres!$C$16,0),Paramètres!$D$16)</f>
        <v>35477</v>
      </c>
      <c r="G11" s="57" t="n">
        <f aca="false">MIN(ROUNDDOWN(N($E11)*Paramètres!$C$17,0),Paramètres!$D$17)</f>
        <v>8869</v>
      </c>
      <c r="H11" s="57" t="n">
        <f aca="false">MIN(ROUNDDOWN(N($E11)*Paramètres!$C$18,0),Paramètres!$D$18)</f>
        <v>8869</v>
      </c>
      <c r="I11" s="57" t="n">
        <f aca="false">N($E11)-(F11+G11+H11)</f>
        <v>124172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53215</v>
      </c>
      <c r="M11" s="57" t="n">
        <f aca="false">MIN(N($E11),Paramètres!$C$7)*Paramètres!$C$6</f>
        <v>9756.285</v>
      </c>
      <c r="N11" s="57" t="n">
        <f aca="false">MIN(M11,I11*Paramètres!$C$8)</f>
        <v>9756.285</v>
      </c>
      <c r="O11" s="57" t="n">
        <f aca="false">I11*IF(K11="Cadre supérieur",Paramètres!$C$10,Paramètres!$C$9)</f>
        <v>31043</v>
      </c>
      <c r="P11" s="57" t="n">
        <f aca="false">MAX(0,ROUNDDOWN(N($E11)-L11-N11-O11,-2))</f>
        <v>83300</v>
      </c>
      <c r="Q11" s="57" t="n">
        <f aca="false">SUMPRODUCT((P11&gt;Paramètres!$B$21:$B$27)*(P11-Paramètres!$B$21:$B$27)*Paramètres!$E$21:$E$27)</f>
        <v>7108.1</v>
      </c>
      <c r="R11" s="57" t="n">
        <f aca="false">Q11*INDEX(Paramètres!$C$31:$C$38,MIN(MAX(INT(N(J11)),0),7)+1)</f>
        <v>0</v>
      </c>
      <c r="S11" s="60" t="n">
        <f aca="false">ROUND(Q11-R11,0)</f>
        <v>7108</v>
      </c>
      <c r="T11" s="57" t="n">
        <f aca="false">ROUND(N($E11)*Paramètres!$C$13,0)</f>
        <v>5322</v>
      </c>
      <c r="U11" s="57" t="n">
        <f aca="false">ROUND(MAX(0,N($E11)-(Q11-R11)-M11)*Paramètres!$C$12,0)</f>
        <v>1605</v>
      </c>
      <c r="V11" s="60" t="n">
        <f aca="false">ROUND(N($E11)-M11-S11-U11,0)</f>
        <v>158918</v>
      </c>
    </row>
    <row r="12" customFormat="false" ht="17.25" hidden="false" customHeight="true" outlineLevel="0" collapsed="false">
      <c r="B12" s="53" t="n">
        <v>6</v>
      </c>
      <c r="C12" s="54" t="s">
        <v>11</v>
      </c>
      <c r="D12" s="55" t="n">
        <v>45778</v>
      </c>
      <c r="E12" s="56" t="n">
        <f aca="false">'Jan-fév-mars-avril-mai-juin'!I10</f>
        <v>225778</v>
      </c>
      <c r="F12" s="57" t="n">
        <f aca="false">MIN(ROUNDDOWN(N($E12)*Paramètres!$C$16,0),Paramètres!$D$16)</f>
        <v>45155</v>
      </c>
      <c r="G12" s="57" t="n">
        <f aca="false">MIN(ROUNDDOWN(N($E12)*Paramètres!$C$17,0),Paramètres!$D$17)</f>
        <v>11288</v>
      </c>
      <c r="H12" s="57" t="n">
        <f aca="false">MIN(ROUNDDOWN(N($E12)*Paramètres!$C$18,0),Paramètres!$D$18)</f>
        <v>11288</v>
      </c>
      <c r="I12" s="57" t="n">
        <f aca="false">N($E12)-(F12+G12+H12)</f>
        <v>158047</v>
      </c>
      <c r="J12" s="58" t="n">
        <v>0</v>
      </c>
      <c r="K12" s="59" t="str">
        <f aca="false">IF(I12&lt;Paramètres!$C$11,"Cadre inférieur","Cadre supérieur")</f>
        <v>Cadre supérieur</v>
      </c>
      <c r="L12" s="57" t="n">
        <f aca="false">MIN(F12,MIN(N($E12)*Paramètres!$C$16,Paramètres!$D$16))+MIN(G12,MIN(N($E12)*Paramètres!$C$17,Paramètres!$D$17))+MIN(H12,MIN(N($E12)*Paramètres!$C$18,Paramètres!$D$18))</f>
        <v>67731</v>
      </c>
      <c r="M12" s="57" t="n">
        <f aca="false">MIN(N($E12),Paramètres!$C$7)*Paramètres!$C$6</f>
        <v>12417.79</v>
      </c>
      <c r="N12" s="57" t="n">
        <f aca="false">MIN(M12,I12*Paramètres!$C$8)</f>
        <v>12417.79</v>
      </c>
      <c r="O12" s="57" t="n">
        <f aca="false">I12*IF(K12="Cadre supérieur",Paramètres!$C$10,Paramètres!$C$9)</f>
        <v>31609.4</v>
      </c>
      <c r="P12" s="57" t="n">
        <f aca="false">MAX(0,ROUNDDOWN(N($E12)-L12-N12-O12,-2))</f>
        <v>114000</v>
      </c>
      <c r="Q12" s="57" t="n">
        <f aca="false">SUMPRODUCT((P12&gt;Paramètres!$B$21:$B$27)*(P12-Paramètres!$B$21:$B$27)*Paramètres!$E$21:$E$27)</f>
        <v>11928</v>
      </c>
      <c r="R12" s="57" t="n">
        <f aca="false">Q12*INDEX(Paramètres!$C$31:$C$38,MIN(MAX(INT(N(J12)),0),7)+1)</f>
        <v>0</v>
      </c>
      <c r="S12" s="60" t="n">
        <f aca="false">ROUND(Q12-R12,0)</f>
        <v>11928</v>
      </c>
      <c r="T12" s="57" t="n">
        <f aca="false">ROUND(N($E12)*Paramètres!$C$13,0)</f>
        <v>6773</v>
      </c>
      <c r="U12" s="57" t="n">
        <f aca="false">ROUND(MAX(0,N($E12)-(Q12-R12)-M12)*Paramètres!$C$12,0)</f>
        <v>2014</v>
      </c>
      <c r="V12" s="60" t="n">
        <f aca="false">ROUND(N($E12)-M12-S12-U12,0)</f>
        <v>199418</v>
      </c>
    </row>
    <row r="13" customFormat="false" ht="17.25" hidden="false" customHeight="true" outlineLevel="0" collapsed="false">
      <c r="B13" s="53" t="n">
        <v>7</v>
      </c>
      <c r="C13" s="54" t="s">
        <v>12</v>
      </c>
      <c r="D13" s="55" t="n">
        <v>45677</v>
      </c>
      <c r="E13" s="56" t="n">
        <f aca="false">'Jan-fév-mars-avril-mai-juin'!I11</f>
        <v>346515</v>
      </c>
      <c r="F13" s="57" t="n">
        <f aca="false">MIN(ROUNDDOWN(N($E13)*Paramètres!$C$16,0),Paramètres!$D$16)</f>
        <v>69303</v>
      </c>
      <c r="G13" s="57" t="n">
        <f aca="false">MIN(ROUNDDOWN(N($E13)*Paramètres!$C$17,0),Paramètres!$D$17)</f>
        <v>17325</v>
      </c>
      <c r="H13" s="57" t="n">
        <f aca="false">MIN(ROUNDDOWN(N($E13)*Paramètres!$C$18,0),Paramètres!$D$18)</f>
        <v>17325</v>
      </c>
      <c r="I13" s="57" t="n">
        <f aca="false">N($E13)-(F13+G13+H13)</f>
        <v>242562</v>
      </c>
      <c r="J13" s="58" t="n">
        <v>0</v>
      </c>
      <c r="K13" s="59" t="str">
        <f aca="false">IF(I13&lt;Paramètres!$C$11,"Cadre inférieur","Cadre supérieur")</f>
        <v>Cadre supérieur</v>
      </c>
      <c r="L13" s="57" t="n">
        <f aca="false">MIN(F13,MIN(N($E13)*Paramètres!$C$16,Paramètres!$D$16))+MIN(G13,MIN(N($E13)*Paramètres!$C$17,Paramètres!$D$17))+MIN(H13,MIN(N($E13)*Paramètres!$C$18,Paramètres!$D$18))</f>
        <v>103953</v>
      </c>
      <c r="M13" s="57" t="n">
        <f aca="false">MIN(N($E13),Paramètres!$C$7)*Paramètres!$C$6</f>
        <v>19058.325</v>
      </c>
      <c r="N13" s="57" t="n">
        <f aca="false">MIN(M13,I13*Paramètres!$C$8)</f>
        <v>19058.325</v>
      </c>
      <c r="O13" s="57" t="n">
        <f aca="false">I13*IF(K13="Cadre supérieur",Paramètres!$C$10,Paramètres!$C$9)</f>
        <v>48512.4</v>
      </c>
      <c r="P13" s="57" t="n">
        <f aca="false">MAX(0,ROUNDDOWN(N($E13)-L13-N13-O13,-2))</f>
        <v>174900</v>
      </c>
      <c r="Q13" s="57" t="n">
        <f aca="false">SUMPRODUCT((P13&gt;Paramètres!$B$21:$B$27)*(P13-Paramètres!$B$21:$B$27)*Paramètres!$E$21:$E$27)</f>
        <v>23133.3</v>
      </c>
      <c r="R13" s="57" t="n">
        <f aca="false">Q13*INDEX(Paramètres!$C$31:$C$38,MIN(MAX(INT(N(J13)),0),7)+1)</f>
        <v>0</v>
      </c>
      <c r="S13" s="60" t="n">
        <f aca="false">ROUND(Q13-R13,0)</f>
        <v>23133</v>
      </c>
      <c r="T13" s="57" t="n">
        <f aca="false">ROUND(N($E13)*Paramètres!$C$13,0)</f>
        <v>10395</v>
      </c>
      <c r="U13" s="57" t="n">
        <f aca="false">ROUND(MAX(0,N($E13)-(Q13-R13)-M13)*Paramètres!$C$12,0)</f>
        <v>3043</v>
      </c>
      <c r="V13" s="60" t="n">
        <f aca="false">ROUND(N($E13)-M13-S13-U13,0)</f>
        <v>301281</v>
      </c>
    </row>
    <row r="14" customFormat="false" ht="17.25" hidden="false" customHeight="true" outlineLevel="0" collapsed="false">
      <c r="B14" s="53" t="n">
        <v>8</v>
      </c>
      <c r="C14" s="54" t="s">
        <v>13</v>
      </c>
      <c r="D14" s="55" t="n">
        <v>45677</v>
      </c>
      <c r="E14" s="56" t="n">
        <f aca="false">'Jan-fév-mars-avril-mai-juin'!I12</f>
        <v>346515</v>
      </c>
      <c r="F14" s="57" t="n">
        <f aca="false">MIN(ROUNDDOWN(N($E14)*Paramètres!$C$16,0),Paramètres!$D$16)</f>
        <v>69303</v>
      </c>
      <c r="G14" s="57" t="n">
        <f aca="false">MIN(ROUNDDOWN(N($E14)*Paramètres!$C$17,0),Paramètres!$D$17)</f>
        <v>17325</v>
      </c>
      <c r="H14" s="57" t="n">
        <f aca="false">MIN(ROUNDDOWN(N($E14)*Paramètres!$C$18,0),Paramètres!$D$18)</f>
        <v>17325</v>
      </c>
      <c r="I14" s="57" t="n">
        <f aca="false">N($E14)-(F14+G14+H14)</f>
        <v>242562</v>
      </c>
      <c r="J14" s="58" t="n">
        <v>0</v>
      </c>
      <c r="K14" s="59" t="str">
        <f aca="false">IF(I14&lt;Paramètres!$C$11,"Cadre inférieur","Cadre supérieur")</f>
        <v>Cadre supérieur</v>
      </c>
      <c r="L14" s="57" t="n">
        <f aca="false">MIN(F14,MIN(N($E14)*Paramètres!$C$16,Paramètres!$D$16))+MIN(G14,MIN(N($E14)*Paramètres!$C$17,Paramètres!$D$17))+MIN(H14,MIN(N($E14)*Paramètres!$C$18,Paramètres!$D$18))</f>
        <v>103953</v>
      </c>
      <c r="M14" s="57" t="n">
        <f aca="false">MIN(N($E14),Paramètres!$C$7)*Paramètres!$C$6</f>
        <v>19058.325</v>
      </c>
      <c r="N14" s="57" t="n">
        <f aca="false">MIN(M14,I14*Paramètres!$C$8)</f>
        <v>19058.325</v>
      </c>
      <c r="O14" s="57" t="n">
        <f aca="false">I14*IF(K14="Cadre supérieur",Paramètres!$C$10,Paramètres!$C$9)</f>
        <v>48512.4</v>
      </c>
      <c r="P14" s="57" t="n">
        <f aca="false">MAX(0,ROUNDDOWN(N($E14)-L14-N14-O14,-2))</f>
        <v>174900</v>
      </c>
      <c r="Q14" s="57" t="n">
        <f aca="false">SUMPRODUCT((P14&gt;Paramètres!$B$21:$B$27)*(P14-Paramètres!$B$21:$B$27)*Paramètres!$E$21:$E$27)</f>
        <v>23133.3</v>
      </c>
      <c r="R14" s="57" t="n">
        <f aca="false">Q14*INDEX(Paramètres!$C$31:$C$38,MIN(MAX(INT(N(J14)),0),7)+1)</f>
        <v>0</v>
      </c>
      <c r="S14" s="60" t="n">
        <f aca="false">ROUND(Q14-R14,0)</f>
        <v>23133</v>
      </c>
      <c r="T14" s="57" t="n">
        <f aca="false">ROUND(N($E14)*Paramètres!$C$13,0)</f>
        <v>10395</v>
      </c>
      <c r="U14" s="57" t="n">
        <f aca="false">ROUND(MAX(0,N($E14)-(Q14-R14)-M14)*Paramètres!$C$12,0)</f>
        <v>3043</v>
      </c>
      <c r="V14" s="60" t="n">
        <f aca="false">ROUND(N($E14)-M14-S14-U14,0)</f>
        <v>301281</v>
      </c>
    </row>
    <row r="15" customFormat="false" ht="17.25" hidden="false" customHeight="true" outlineLevel="0" collapsed="false">
      <c r="B15" s="53" t="n">
        <v>9</v>
      </c>
      <c r="C15" s="54" t="s">
        <v>14</v>
      </c>
      <c r="D15" s="55" t="n">
        <v>46092</v>
      </c>
      <c r="E15" s="56" t="n">
        <f aca="false">'Jan-fév-mars-avril-mai-juin'!I13</f>
        <v>165340</v>
      </c>
      <c r="F15" s="57" t="n">
        <f aca="false">MIN(ROUNDDOWN(N($E15)*Paramètres!$C$16,0),Paramètres!$D$16)</f>
        <v>33068</v>
      </c>
      <c r="G15" s="57" t="n">
        <f aca="false">MIN(ROUNDDOWN(N($E15)*Paramètres!$C$17,0),Paramètres!$D$17)</f>
        <v>8267</v>
      </c>
      <c r="H15" s="57" t="n">
        <f aca="false">MIN(ROUNDDOWN(N($E15)*Paramètres!$C$18,0),Paramètres!$D$18)</f>
        <v>8267</v>
      </c>
      <c r="I15" s="57" t="n">
        <f aca="false">N($E15)-(F15+G15+H15)</f>
        <v>115738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49602</v>
      </c>
      <c r="M15" s="57" t="n">
        <f aca="false">MIN(N($E15),Paramètres!$C$7)*Paramètres!$C$6</f>
        <v>9093.7</v>
      </c>
      <c r="N15" s="57" t="n">
        <f aca="false">MIN(M15,I15*Paramètres!$C$8)</f>
        <v>9093.7</v>
      </c>
      <c r="O15" s="57" t="n">
        <f aca="false">I15*IF(K15="Cadre supérieur",Paramètres!$C$10,Paramètres!$C$9)</f>
        <v>28934.5</v>
      </c>
      <c r="P15" s="57" t="n">
        <f aca="false">MAX(0,ROUNDDOWN(N($E15)-L15-N15-O15,-2))</f>
        <v>77700</v>
      </c>
      <c r="Q15" s="57" t="n">
        <f aca="false">SUMPRODUCT((P15&gt;Paramètres!$B$21:$B$27)*(P15-Paramètres!$B$21:$B$27)*Paramètres!$E$21:$E$27)</f>
        <v>6270.3</v>
      </c>
      <c r="R15" s="57" t="n">
        <f aca="false">Q15*INDEX(Paramètres!$C$31:$C$38,MIN(MAX(INT(N(J15)),0),7)+1)</f>
        <v>0</v>
      </c>
      <c r="S15" s="60" t="n">
        <f aca="false">ROUND(Q15-R15,0)</f>
        <v>6270</v>
      </c>
      <c r="T15" s="57" t="n">
        <f aca="false">ROUND(N($E15)*Paramètres!$C$13,0)</f>
        <v>4960</v>
      </c>
      <c r="U15" s="57" t="n">
        <f aca="false">ROUND(MAX(0,N($E15)-(Q15-R15)-M15)*Paramètres!$C$12,0)</f>
        <v>1500</v>
      </c>
      <c r="V15" s="60" t="n">
        <f aca="false">ROUND(N($E15)-M15-S15-U15,0)</f>
        <v>148476</v>
      </c>
    </row>
    <row r="16" customFormat="false" ht="21.75" hidden="false" customHeight="true" outlineLevel="0" collapsed="false">
      <c r="B16" s="61" t="s">
        <v>15</v>
      </c>
      <c r="C16" s="61"/>
      <c r="D16" s="61"/>
      <c r="E16" s="62" t="n">
        <f aca="false">SUM(E7:E15)</f>
        <v>2128008</v>
      </c>
      <c r="F16" s="62" t="n">
        <f aca="false">SUM(F7:F15)</f>
        <v>425599</v>
      </c>
      <c r="G16" s="62" t="n">
        <f aca="false">SUM(G7:G15)</f>
        <v>106396</v>
      </c>
      <c r="H16" s="62" t="n">
        <f aca="false">SUM(H7:H15)</f>
        <v>106396</v>
      </c>
      <c r="I16" s="62" t="n">
        <f aca="false">SUM(I7:I15)</f>
        <v>1489617</v>
      </c>
      <c r="L16" s="62" t="n">
        <f aca="false">SUM(L7:L15)</f>
        <v>638391</v>
      </c>
      <c r="M16" s="62" t="n">
        <f aca="false">SUM(M7:M15)</f>
        <v>117040.44</v>
      </c>
      <c r="N16" s="62" t="n">
        <f aca="false">SUM(N7:N15)</f>
        <v>117040.44</v>
      </c>
      <c r="O16" s="62" t="n">
        <f aca="false">SUM(O7:O15)</f>
        <v>332343.35</v>
      </c>
      <c r="P16" s="62" t="n">
        <f aca="false">SUM(P7:P15)</f>
        <v>1039700</v>
      </c>
      <c r="Q16" s="62" t="n">
        <f aca="false">SUM(Q7:Q15)</f>
        <v>112832.3</v>
      </c>
      <c r="R16" s="62" t="n">
        <f aca="false">SUM(R7:R15)</f>
        <v>0</v>
      </c>
      <c r="S16" s="63" t="n">
        <f aca="false">SUM(S7:S15)</f>
        <v>112831</v>
      </c>
      <c r="T16" s="62" t="n">
        <f aca="false">SUM(T7:T15)</f>
        <v>63839</v>
      </c>
      <c r="U16" s="62" t="n">
        <f aca="false">SUM(U7:U15)</f>
        <v>18979</v>
      </c>
      <c r="V16" s="63" t="n">
        <f aca="false">SUM(V7:V15)</f>
        <v>1879158</v>
      </c>
    </row>
    <row r="17" customFormat="false" ht="21.75" hidden="false" customHeight="true" outlineLevel="0" collapsed="false">
      <c r="B17" s="64" t="s">
        <v>125</v>
      </c>
      <c r="C17" s="64"/>
      <c r="D17" s="64"/>
      <c r="E17" s="65" t="n">
        <f aca="false">Avril!E17+E16</f>
        <v>7618973</v>
      </c>
      <c r="S17" s="66" t="n">
        <f aca="false">Avril!S17+S16</f>
        <v>400516</v>
      </c>
      <c r="T17" s="65" t="n">
        <f aca="false">Avril!T17+T16</f>
        <v>228568</v>
      </c>
      <c r="U17" s="65" t="n">
        <f aca="false">Avril!U17+U16</f>
        <v>67992</v>
      </c>
      <c r="V17" s="66" t="n">
        <f aca="false">Avril!V17+V16</f>
        <v>6731421</v>
      </c>
    </row>
    <row r="19" customFormat="false" ht="15" hidden="false" customHeight="false" outlineLevel="0" collapsed="false">
      <c r="C19" s="67" t="s">
        <v>126</v>
      </c>
    </row>
    <row r="20" customFormat="false" ht="15" hidden="false" customHeight="false" outlineLevel="0" collapsed="false">
      <c r="C20" s="68" t="s">
        <v>127</v>
      </c>
    </row>
    <row r="21" customFormat="false" ht="15" hidden="false" customHeight="false" outlineLevel="0" collapsed="false">
      <c r="C21" s="68" t="s">
        <v>128</v>
      </c>
    </row>
    <row r="22" customFormat="false" ht="15" hidden="false" customHeight="false" outlineLevel="0" collapsed="false">
      <c r="C22" s="68" t="s">
        <v>129</v>
      </c>
    </row>
    <row r="23" customFormat="false" ht="15" hidden="false" customHeight="false" outlineLevel="0" collapsed="false">
      <c r="C23" s="68" t="s">
        <v>130</v>
      </c>
    </row>
    <row r="24" customFormat="false" ht="15" hidden="false" customHeight="false" outlineLevel="0" collapsed="false">
      <c r="C24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140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141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6</v>
      </c>
      <c r="D7" s="55" t="n">
        <v>45881</v>
      </c>
      <c r="E7" s="56" t="n">
        <f aca="false">'Jan-fév-mars-avril-mai-juin'!J5</f>
        <v>346515</v>
      </c>
      <c r="F7" s="57" t="n">
        <f aca="false">MIN(ROUNDDOWN(N($E7)*Paramètres!$C$16,0),Paramètres!$D$16)</f>
        <v>69303</v>
      </c>
      <c r="G7" s="57" t="n">
        <f aca="false">MIN(ROUNDDOWN(N($E7)*Paramètres!$C$17,0),Paramètres!$D$17)</f>
        <v>17325</v>
      </c>
      <c r="H7" s="57" t="n">
        <f aca="false">MIN(ROUNDDOWN(N($E7)*Paramètres!$C$18,0),Paramètres!$D$18)</f>
        <v>17325</v>
      </c>
      <c r="I7" s="57" t="n">
        <f aca="false">N($E7)-(F7+G7+H7)</f>
        <v>242562</v>
      </c>
      <c r="J7" s="58" t="n">
        <v>0</v>
      </c>
      <c r="K7" s="59" t="str">
        <f aca="false">IF(I7&lt;Paramètres!$C$11,"Cadre inférieur","Cadre supérieur")</f>
        <v>Cadre supérieur</v>
      </c>
      <c r="L7" s="57" t="n">
        <f aca="false">MIN(F7,MIN(N($E7)*Paramètres!$C$16,Paramètres!$D$16))+MIN(G7,MIN(N($E7)*Paramètres!$C$17,Paramètres!$D$17))+MIN(H7,MIN(N($E7)*Paramètres!$C$18,Paramètres!$D$18))</f>
        <v>103953</v>
      </c>
      <c r="M7" s="57" t="n">
        <f aca="false">MIN(N($E7),Paramètres!$C$7)*Paramètres!$C$6</f>
        <v>19058.325</v>
      </c>
      <c r="N7" s="57" t="n">
        <f aca="false">MIN(M7,I7*Paramètres!$C$8)</f>
        <v>19058.325</v>
      </c>
      <c r="O7" s="57" t="n">
        <f aca="false">I7*IF(K7="Cadre supérieur",Paramètres!$C$10,Paramètres!$C$9)</f>
        <v>48512.4</v>
      </c>
      <c r="P7" s="57" t="n">
        <f aca="false">MAX(0,ROUNDDOWN(N($E7)-L7-N7-O7,-2))</f>
        <v>174900</v>
      </c>
      <c r="Q7" s="57" t="n">
        <f aca="false">SUMPRODUCT((P7&gt;Paramètres!$B$21:$B$27)*(P7-Paramètres!$B$21:$B$27)*Paramètres!$E$21:$E$27)</f>
        <v>23133.3</v>
      </c>
      <c r="R7" s="57" t="n">
        <f aca="false">Q7*INDEX(Paramètres!$C$31:$C$38,MIN(MAX(INT(N(J7)),0),7)+1)</f>
        <v>0</v>
      </c>
      <c r="S7" s="60" t="n">
        <f aca="false">ROUND(Q7-R7,0)</f>
        <v>23133</v>
      </c>
      <c r="T7" s="57" t="n">
        <f aca="false">ROUND(N($E7)*Paramètres!$C$13,0)</f>
        <v>10395</v>
      </c>
      <c r="U7" s="57" t="n">
        <f aca="false">ROUND(MAX(0,N($E7)-(Q7-R7)-M7)*Paramètres!$C$12,0)</f>
        <v>3043</v>
      </c>
      <c r="V7" s="60" t="n">
        <f aca="false">ROUND(N($E7)-M7-S7-U7,0)</f>
        <v>301281</v>
      </c>
    </row>
    <row r="8" customFormat="false" ht="17.25" hidden="false" customHeight="true" outlineLevel="0" collapsed="false">
      <c r="B8" s="53" t="n">
        <v>2</v>
      </c>
      <c r="C8" s="54" t="s">
        <v>7</v>
      </c>
      <c r="D8" s="55" t="n">
        <v>45778</v>
      </c>
      <c r="E8" s="56" t="n">
        <f aca="false">'Jan-fév-mars-avril-mai-juin'!J6</f>
        <v>225778</v>
      </c>
      <c r="F8" s="57" t="n">
        <f aca="false">MIN(ROUNDDOWN(N($E8)*Paramètres!$C$16,0),Paramètres!$D$16)</f>
        <v>45155</v>
      </c>
      <c r="G8" s="57" t="n">
        <f aca="false">MIN(ROUNDDOWN(N($E8)*Paramètres!$C$17,0),Paramètres!$D$17)</f>
        <v>11288</v>
      </c>
      <c r="H8" s="57" t="n">
        <f aca="false">MIN(ROUNDDOWN(N($E8)*Paramètres!$C$18,0),Paramètres!$D$18)</f>
        <v>11288</v>
      </c>
      <c r="I8" s="57" t="n">
        <f aca="false">N($E8)-(F8+G8+H8)</f>
        <v>158047</v>
      </c>
      <c r="J8" s="58" t="n">
        <v>0</v>
      </c>
      <c r="K8" s="59" t="str">
        <f aca="false">IF(I8&lt;Paramètres!$C$11,"Cadre inférieur","Cadre supérieur")</f>
        <v>Cadre supérieur</v>
      </c>
      <c r="L8" s="57" t="n">
        <f aca="false">MIN(F8,MIN(N($E8)*Paramètres!$C$16,Paramètres!$D$16))+MIN(G8,MIN(N($E8)*Paramètres!$C$17,Paramètres!$D$17))+MIN(H8,MIN(N($E8)*Paramètres!$C$18,Paramètres!$D$18))</f>
        <v>67731</v>
      </c>
      <c r="M8" s="57" t="n">
        <f aca="false">MIN(N($E8),Paramètres!$C$7)*Paramètres!$C$6</f>
        <v>12417.79</v>
      </c>
      <c r="N8" s="57" t="n">
        <f aca="false">MIN(M8,I8*Paramètres!$C$8)</f>
        <v>12417.79</v>
      </c>
      <c r="O8" s="57" t="n">
        <f aca="false">I8*IF(K8="Cadre supérieur",Paramètres!$C$10,Paramètres!$C$9)</f>
        <v>31609.4</v>
      </c>
      <c r="P8" s="57" t="n">
        <f aca="false">MAX(0,ROUNDDOWN(N($E8)-L8-N8-O8,-2))</f>
        <v>114000</v>
      </c>
      <c r="Q8" s="57" t="n">
        <f aca="false">SUMPRODUCT((P8&gt;Paramètres!$B$21:$B$27)*(P8-Paramètres!$B$21:$B$27)*Paramètres!$E$21:$E$27)</f>
        <v>11928</v>
      </c>
      <c r="R8" s="57" t="n">
        <f aca="false">Q8*INDEX(Paramètres!$C$31:$C$38,MIN(MAX(INT(N(J8)),0),7)+1)</f>
        <v>0</v>
      </c>
      <c r="S8" s="60" t="n">
        <f aca="false">ROUND(Q8-R8,0)</f>
        <v>11928</v>
      </c>
      <c r="T8" s="57" t="n">
        <f aca="false">ROUND(N($E8)*Paramètres!$C$13,0)</f>
        <v>6773</v>
      </c>
      <c r="U8" s="57" t="n">
        <f aca="false">ROUND(MAX(0,N($E8)-(Q8-R8)-M8)*Paramètres!$C$12,0)</f>
        <v>2014</v>
      </c>
      <c r="V8" s="60" t="n">
        <f aca="false">ROUND(N($E8)-M8-S8-U8,0)</f>
        <v>199418</v>
      </c>
    </row>
    <row r="9" customFormat="false" ht="17.25" hidden="false" customHeight="true" outlineLevel="0" collapsed="false">
      <c r="B9" s="53" t="n">
        <v>3</v>
      </c>
      <c r="C9" s="54" t="s">
        <v>8</v>
      </c>
      <c r="D9" s="55" t="n">
        <v>45912</v>
      </c>
      <c r="E9" s="56" t="n">
        <f aca="false">'Jan-fév-mars-avril-mai-juin'!J7</f>
        <v>225778</v>
      </c>
      <c r="F9" s="57" t="n">
        <f aca="false">MIN(ROUNDDOWN(N($E9)*Paramètres!$C$16,0),Paramètres!$D$16)</f>
        <v>45155</v>
      </c>
      <c r="G9" s="57" t="n">
        <f aca="false">MIN(ROUNDDOWN(N($E9)*Paramètres!$C$17,0),Paramètres!$D$17)</f>
        <v>11288</v>
      </c>
      <c r="H9" s="57" t="n">
        <f aca="false">MIN(ROUNDDOWN(N($E9)*Paramètres!$C$18,0),Paramètres!$D$18)</f>
        <v>11288</v>
      </c>
      <c r="I9" s="57" t="n">
        <f aca="false">N($E9)-(F9+G9+H9)</f>
        <v>158047</v>
      </c>
      <c r="J9" s="58" t="n">
        <v>0</v>
      </c>
      <c r="K9" s="59" t="str">
        <f aca="false">IF(I9&lt;Paramètres!$C$11,"Cadre inférieur","Cadre supérieur")</f>
        <v>Cadre supérieur</v>
      </c>
      <c r="L9" s="57" t="n">
        <f aca="false">MIN(F9,MIN(N($E9)*Paramètres!$C$16,Paramètres!$D$16))+MIN(G9,MIN(N($E9)*Paramètres!$C$17,Paramètres!$D$17))+MIN(H9,MIN(N($E9)*Paramètres!$C$18,Paramètres!$D$18))</f>
        <v>67731</v>
      </c>
      <c r="M9" s="57" t="n">
        <f aca="false">MIN(N($E9),Paramètres!$C$7)*Paramètres!$C$6</f>
        <v>12417.79</v>
      </c>
      <c r="N9" s="57" t="n">
        <f aca="false">MIN(M9,I9*Paramètres!$C$8)</f>
        <v>12417.79</v>
      </c>
      <c r="O9" s="57" t="n">
        <f aca="false">I9*IF(K9="Cadre supérieur",Paramètres!$C$10,Paramètres!$C$9)</f>
        <v>31609.4</v>
      </c>
      <c r="P9" s="57" t="n">
        <f aca="false">MAX(0,ROUNDDOWN(N($E9)-L9-N9-O9,-2))</f>
        <v>114000</v>
      </c>
      <c r="Q9" s="57" t="n">
        <f aca="false">SUMPRODUCT((P9&gt;Paramètres!$B$21:$B$27)*(P9-Paramètres!$B$21:$B$27)*Paramètres!$E$21:$E$27)</f>
        <v>11928</v>
      </c>
      <c r="R9" s="57" t="n">
        <f aca="false">Q9*INDEX(Paramètres!$C$31:$C$38,MIN(MAX(INT(N(J9)),0),7)+1)</f>
        <v>0</v>
      </c>
      <c r="S9" s="60" t="n">
        <f aca="false">ROUND(Q9-R9,0)</f>
        <v>11928</v>
      </c>
      <c r="T9" s="57" t="n">
        <f aca="false">ROUND(N($E9)*Paramètres!$C$13,0)</f>
        <v>6773</v>
      </c>
      <c r="U9" s="57" t="n">
        <f aca="false">ROUND(MAX(0,N($E9)-(Q9-R9)-M9)*Paramètres!$C$12,0)</f>
        <v>2014</v>
      </c>
      <c r="V9" s="60" t="n">
        <f aca="false">ROUND(N($E9)-M9-S9-U9,0)</f>
        <v>199418</v>
      </c>
    </row>
    <row r="10" customFormat="false" ht="17.25" hidden="false" customHeight="true" outlineLevel="0" collapsed="false">
      <c r="B10" s="53" t="n">
        <v>4</v>
      </c>
      <c r="C10" s="54" t="s">
        <v>9</v>
      </c>
      <c r="D10" s="55" t="n">
        <v>45778</v>
      </c>
      <c r="E10" s="56" t="n">
        <f aca="false">'Jan-fév-mars-avril-mai-juin'!J8</f>
        <v>213566</v>
      </c>
      <c r="F10" s="57" t="n">
        <f aca="false">MIN(ROUNDDOWN(N($E10)*Paramètres!$C$16,0),Paramètres!$D$16)</f>
        <v>42713</v>
      </c>
      <c r="G10" s="57" t="n">
        <f aca="false">MIN(ROUNDDOWN(N($E10)*Paramètres!$C$17,0),Paramètres!$D$17)</f>
        <v>10678</v>
      </c>
      <c r="H10" s="57" t="n">
        <f aca="false">MIN(ROUNDDOWN(N($E10)*Paramètres!$C$18,0),Paramètres!$D$18)</f>
        <v>10678</v>
      </c>
      <c r="I10" s="57" t="n">
        <f aca="false">N($E10)-(F10+G10+H10)</f>
        <v>149497</v>
      </c>
      <c r="J10" s="58" t="n">
        <v>0</v>
      </c>
      <c r="K10" s="59" t="str">
        <f aca="false">IF(I10&lt;Paramètres!$C$11,"Cadre inférieur","Cadre supérieur")</f>
        <v>Cadre inférieur</v>
      </c>
      <c r="L10" s="57" t="n">
        <f aca="false">MIN(F10,MIN(N($E10)*Paramètres!$C$16,Paramètres!$D$16))+MIN(G10,MIN(N($E10)*Paramètres!$C$17,Paramètres!$D$17))+MIN(H10,MIN(N($E10)*Paramètres!$C$18,Paramètres!$D$18))</f>
        <v>64069</v>
      </c>
      <c r="M10" s="57" t="n">
        <f aca="false">MIN(N($E10),Paramètres!$C$7)*Paramètres!$C$6</f>
        <v>11746.13</v>
      </c>
      <c r="N10" s="57" t="n">
        <f aca="false">MIN(M10,I10*Paramètres!$C$8)</f>
        <v>11746.13</v>
      </c>
      <c r="O10" s="57" t="n">
        <f aca="false">I10*IF(K10="Cadre supérieur",Paramètres!$C$10,Paramètres!$C$9)</f>
        <v>37374.25</v>
      </c>
      <c r="P10" s="57" t="n">
        <f aca="false">MAX(0,ROUNDDOWN(N($E10)-L10-N10-O10,-2))</f>
        <v>100300</v>
      </c>
      <c r="Q10" s="57" t="n">
        <f aca="false">SUMPRODUCT((P10&gt;Paramètres!$B$21:$B$27)*(P10-Paramètres!$B$21:$B$27)*Paramètres!$E$21:$E$27)</f>
        <v>9777.1</v>
      </c>
      <c r="R10" s="57" t="n">
        <f aca="false">Q10*INDEX(Paramètres!$C$31:$C$38,MIN(MAX(INT(N(J10)),0),7)+1)</f>
        <v>0</v>
      </c>
      <c r="S10" s="60" t="n">
        <f aca="false">ROUND(Q10-R10,0)</f>
        <v>9777</v>
      </c>
      <c r="T10" s="57" t="n">
        <f aca="false">ROUND(N($E10)*Paramètres!$C$13,0)</f>
        <v>6407</v>
      </c>
      <c r="U10" s="57" t="n">
        <f aca="false">ROUND(MAX(0,N($E10)-(Q10-R10)-M10)*Paramètres!$C$12,0)</f>
        <v>1920</v>
      </c>
      <c r="V10" s="60" t="n">
        <f aca="false">ROUND(N($E10)-M10-S10-U10,0)</f>
        <v>190123</v>
      </c>
    </row>
    <row r="11" customFormat="false" ht="17.25" hidden="false" customHeight="true" outlineLevel="0" collapsed="false">
      <c r="B11" s="53" t="n">
        <v>5</v>
      </c>
      <c r="C11" s="54" t="s">
        <v>10</v>
      </c>
      <c r="D11" s="55" t="n">
        <v>46000</v>
      </c>
      <c r="E11" s="56" t="n">
        <f aca="false">'Jan-fév-mars-avril-mai-juin'!J9</f>
        <v>177387</v>
      </c>
      <c r="F11" s="57" t="n">
        <f aca="false">MIN(ROUNDDOWN(N($E11)*Paramètres!$C$16,0),Paramètres!$D$16)</f>
        <v>35477</v>
      </c>
      <c r="G11" s="57" t="n">
        <f aca="false">MIN(ROUNDDOWN(N($E11)*Paramètres!$C$17,0),Paramètres!$D$17)</f>
        <v>8869</v>
      </c>
      <c r="H11" s="57" t="n">
        <f aca="false">MIN(ROUNDDOWN(N($E11)*Paramètres!$C$18,0),Paramètres!$D$18)</f>
        <v>8869</v>
      </c>
      <c r="I11" s="57" t="n">
        <f aca="false">N($E11)-(F11+G11+H11)</f>
        <v>124172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53215</v>
      </c>
      <c r="M11" s="57" t="n">
        <f aca="false">MIN(N($E11),Paramètres!$C$7)*Paramètres!$C$6</f>
        <v>9756.285</v>
      </c>
      <c r="N11" s="57" t="n">
        <f aca="false">MIN(M11,I11*Paramètres!$C$8)</f>
        <v>9756.285</v>
      </c>
      <c r="O11" s="57" t="n">
        <f aca="false">I11*IF(K11="Cadre supérieur",Paramètres!$C$10,Paramètres!$C$9)</f>
        <v>31043</v>
      </c>
      <c r="P11" s="57" t="n">
        <f aca="false">MAX(0,ROUNDDOWN(N($E11)-L11-N11-O11,-2))</f>
        <v>83300</v>
      </c>
      <c r="Q11" s="57" t="n">
        <f aca="false">SUMPRODUCT((P11&gt;Paramètres!$B$21:$B$27)*(P11-Paramètres!$B$21:$B$27)*Paramètres!$E$21:$E$27)</f>
        <v>7108.1</v>
      </c>
      <c r="R11" s="57" t="n">
        <f aca="false">Q11*INDEX(Paramètres!$C$31:$C$38,MIN(MAX(INT(N(J11)),0),7)+1)</f>
        <v>0</v>
      </c>
      <c r="S11" s="60" t="n">
        <f aca="false">ROUND(Q11-R11,0)</f>
        <v>7108</v>
      </c>
      <c r="T11" s="57" t="n">
        <f aca="false">ROUND(N($E11)*Paramètres!$C$13,0)</f>
        <v>5322</v>
      </c>
      <c r="U11" s="57" t="n">
        <f aca="false">ROUND(MAX(0,N($E11)-(Q11-R11)-M11)*Paramètres!$C$12,0)</f>
        <v>1605</v>
      </c>
      <c r="V11" s="60" t="n">
        <f aca="false">ROUND(N($E11)-M11-S11-U11,0)</f>
        <v>158918</v>
      </c>
    </row>
    <row r="12" customFormat="false" ht="17.25" hidden="false" customHeight="true" outlineLevel="0" collapsed="false">
      <c r="B12" s="53" t="n">
        <v>6</v>
      </c>
      <c r="C12" s="54" t="s">
        <v>11</v>
      </c>
      <c r="D12" s="55" t="n">
        <v>45778</v>
      </c>
      <c r="E12" s="56" t="n">
        <f aca="false">'Jan-fév-mars-avril-mai-juin'!J10</f>
        <v>225778</v>
      </c>
      <c r="F12" s="57" t="n">
        <f aca="false">MIN(ROUNDDOWN(N($E12)*Paramètres!$C$16,0),Paramètres!$D$16)</f>
        <v>45155</v>
      </c>
      <c r="G12" s="57" t="n">
        <f aca="false">MIN(ROUNDDOWN(N($E12)*Paramètres!$C$17,0),Paramètres!$D$17)</f>
        <v>11288</v>
      </c>
      <c r="H12" s="57" t="n">
        <f aca="false">MIN(ROUNDDOWN(N($E12)*Paramètres!$C$18,0),Paramètres!$D$18)</f>
        <v>11288</v>
      </c>
      <c r="I12" s="57" t="n">
        <f aca="false">N($E12)-(F12+G12+H12)</f>
        <v>158047</v>
      </c>
      <c r="J12" s="58" t="n">
        <v>0</v>
      </c>
      <c r="K12" s="59" t="str">
        <f aca="false">IF(I12&lt;Paramètres!$C$11,"Cadre inférieur","Cadre supérieur")</f>
        <v>Cadre supérieur</v>
      </c>
      <c r="L12" s="57" t="n">
        <f aca="false">MIN(F12,MIN(N($E12)*Paramètres!$C$16,Paramètres!$D$16))+MIN(G12,MIN(N($E12)*Paramètres!$C$17,Paramètres!$D$17))+MIN(H12,MIN(N($E12)*Paramètres!$C$18,Paramètres!$D$18))</f>
        <v>67731</v>
      </c>
      <c r="M12" s="57" t="n">
        <f aca="false">MIN(N($E12),Paramètres!$C$7)*Paramètres!$C$6</f>
        <v>12417.79</v>
      </c>
      <c r="N12" s="57" t="n">
        <f aca="false">MIN(M12,I12*Paramètres!$C$8)</f>
        <v>12417.79</v>
      </c>
      <c r="O12" s="57" t="n">
        <f aca="false">I12*IF(K12="Cadre supérieur",Paramètres!$C$10,Paramètres!$C$9)</f>
        <v>31609.4</v>
      </c>
      <c r="P12" s="57" t="n">
        <f aca="false">MAX(0,ROUNDDOWN(N($E12)-L12-N12-O12,-2))</f>
        <v>114000</v>
      </c>
      <c r="Q12" s="57" t="n">
        <f aca="false">SUMPRODUCT((P12&gt;Paramètres!$B$21:$B$27)*(P12-Paramètres!$B$21:$B$27)*Paramètres!$E$21:$E$27)</f>
        <v>11928</v>
      </c>
      <c r="R12" s="57" t="n">
        <f aca="false">Q12*INDEX(Paramètres!$C$31:$C$38,MIN(MAX(INT(N(J12)),0),7)+1)</f>
        <v>0</v>
      </c>
      <c r="S12" s="60" t="n">
        <f aca="false">ROUND(Q12-R12,0)</f>
        <v>11928</v>
      </c>
      <c r="T12" s="57" t="n">
        <f aca="false">ROUND(N($E12)*Paramètres!$C$13,0)</f>
        <v>6773</v>
      </c>
      <c r="U12" s="57" t="n">
        <f aca="false">ROUND(MAX(0,N($E12)-(Q12-R12)-M12)*Paramètres!$C$12,0)</f>
        <v>2014</v>
      </c>
      <c r="V12" s="60" t="n">
        <f aca="false">ROUND(N($E12)-M12-S12-U12,0)</f>
        <v>199418</v>
      </c>
    </row>
    <row r="13" customFormat="false" ht="17.25" hidden="false" customHeight="true" outlineLevel="0" collapsed="false">
      <c r="B13" s="53" t="n">
        <v>7</v>
      </c>
      <c r="C13" s="54" t="s">
        <v>12</v>
      </c>
      <c r="D13" s="55" t="n">
        <v>45677</v>
      </c>
      <c r="E13" s="56" t="n">
        <f aca="false">'Jan-fév-mars-avril-mai-juin'!J11</f>
        <v>346515</v>
      </c>
      <c r="F13" s="57" t="n">
        <f aca="false">MIN(ROUNDDOWN(N($E13)*Paramètres!$C$16,0),Paramètres!$D$16)</f>
        <v>69303</v>
      </c>
      <c r="G13" s="57" t="n">
        <f aca="false">MIN(ROUNDDOWN(N($E13)*Paramètres!$C$17,0),Paramètres!$D$17)</f>
        <v>17325</v>
      </c>
      <c r="H13" s="57" t="n">
        <f aca="false">MIN(ROUNDDOWN(N($E13)*Paramètres!$C$18,0),Paramètres!$D$18)</f>
        <v>17325</v>
      </c>
      <c r="I13" s="57" t="n">
        <f aca="false">N($E13)-(F13+G13+H13)</f>
        <v>242562</v>
      </c>
      <c r="J13" s="58" t="n">
        <v>0</v>
      </c>
      <c r="K13" s="59" t="str">
        <f aca="false">IF(I13&lt;Paramètres!$C$11,"Cadre inférieur","Cadre supérieur")</f>
        <v>Cadre supérieur</v>
      </c>
      <c r="L13" s="57" t="n">
        <f aca="false">MIN(F13,MIN(N($E13)*Paramètres!$C$16,Paramètres!$D$16))+MIN(G13,MIN(N($E13)*Paramètres!$C$17,Paramètres!$D$17))+MIN(H13,MIN(N($E13)*Paramètres!$C$18,Paramètres!$D$18))</f>
        <v>103953</v>
      </c>
      <c r="M13" s="57" t="n">
        <f aca="false">MIN(N($E13),Paramètres!$C$7)*Paramètres!$C$6</f>
        <v>19058.325</v>
      </c>
      <c r="N13" s="57" t="n">
        <f aca="false">MIN(M13,I13*Paramètres!$C$8)</f>
        <v>19058.325</v>
      </c>
      <c r="O13" s="57" t="n">
        <f aca="false">I13*IF(K13="Cadre supérieur",Paramètres!$C$10,Paramètres!$C$9)</f>
        <v>48512.4</v>
      </c>
      <c r="P13" s="57" t="n">
        <f aca="false">MAX(0,ROUNDDOWN(N($E13)-L13-N13-O13,-2))</f>
        <v>174900</v>
      </c>
      <c r="Q13" s="57" t="n">
        <f aca="false">SUMPRODUCT((P13&gt;Paramètres!$B$21:$B$27)*(P13-Paramètres!$B$21:$B$27)*Paramètres!$E$21:$E$27)</f>
        <v>23133.3</v>
      </c>
      <c r="R13" s="57" t="n">
        <f aca="false">Q13*INDEX(Paramètres!$C$31:$C$38,MIN(MAX(INT(N(J13)),0),7)+1)</f>
        <v>0</v>
      </c>
      <c r="S13" s="60" t="n">
        <f aca="false">ROUND(Q13-R13,0)</f>
        <v>23133</v>
      </c>
      <c r="T13" s="57" t="n">
        <f aca="false">ROUND(N($E13)*Paramètres!$C$13,0)</f>
        <v>10395</v>
      </c>
      <c r="U13" s="57" t="n">
        <f aca="false">ROUND(MAX(0,N($E13)-(Q13-R13)-M13)*Paramètres!$C$12,0)</f>
        <v>3043</v>
      </c>
      <c r="V13" s="60" t="n">
        <f aca="false">ROUND(N($E13)-M13-S13-U13,0)</f>
        <v>301281</v>
      </c>
    </row>
    <row r="14" customFormat="false" ht="17.25" hidden="false" customHeight="true" outlineLevel="0" collapsed="false">
      <c r="B14" s="53" t="n">
        <v>8</v>
      </c>
      <c r="C14" s="54" t="s">
        <v>13</v>
      </c>
      <c r="D14" s="55" t="n">
        <v>45677</v>
      </c>
      <c r="E14" s="56" t="n">
        <f aca="false">'Jan-fév-mars-avril-mai-juin'!J12</f>
        <v>346515</v>
      </c>
      <c r="F14" s="57" t="n">
        <f aca="false">MIN(ROUNDDOWN(N($E14)*Paramètres!$C$16,0),Paramètres!$D$16)</f>
        <v>69303</v>
      </c>
      <c r="G14" s="57" t="n">
        <f aca="false">MIN(ROUNDDOWN(N($E14)*Paramètres!$C$17,0),Paramètres!$D$17)</f>
        <v>17325</v>
      </c>
      <c r="H14" s="57" t="n">
        <f aca="false">MIN(ROUNDDOWN(N($E14)*Paramètres!$C$18,0),Paramètres!$D$18)</f>
        <v>17325</v>
      </c>
      <c r="I14" s="57" t="n">
        <f aca="false">N($E14)-(F14+G14+H14)</f>
        <v>242562</v>
      </c>
      <c r="J14" s="58" t="n">
        <v>0</v>
      </c>
      <c r="K14" s="59" t="str">
        <f aca="false">IF(I14&lt;Paramètres!$C$11,"Cadre inférieur","Cadre supérieur")</f>
        <v>Cadre supérieur</v>
      </c>
      <c r="L14" s="57" t="n">
        <f aca="false">MIN(F14,MIN(N($E14)*Paramètres!$C$16,Paramètres!$D$16))+MIN(G14,MIN(N($E14)*Paramètres!$C$17,Paramètres!$D$17))+MIN(H14,MIN(N($E14)*Paramètres!$C$18,Paramètres!$D$18))</f>
        <v>103953</v>
      </c>
      <c r="M14" s="57" t="n">
        <f aca="false">MIN(N($E14),Paramètres!$C$7)*Paramètres!$C$6</f>
        <v>19058.325</v>
      </c>
      <c r="N14" s="57" t="n">
        <f aca="false">MIN(M14,I14*Paramètres!$C$8)</f>
        <v>19058.325</v>
      </c>
      <c r="O14" s="57" t="n">
        <f aca="false">I14*IF(K14="Cadre supérieur",Paramètres!$C$10,Paramètres!$C$9)</f>
        <v>48512.4</v>
      </c>
      <c r="P14" s="57" t="n">
        <f aca="false">MAX(0,ROUNDDOWN(N($E14)-L14-N14-O14,-2))</f>
        <v>174900</v>
      </c>
      <c r="Q14" s="57" t="n">
        <f aca="false">SUMPRODUCT((P14&gt;Paramètres!$B$21:$B$27)*(P14-Paramètres!$B$21:$B$27)*Paramètres!$E$21:$E$27)</f>
        <v>23133.3</v>
      </c>
      <c r="R14" s="57" t="n">
        <f aca="false">Q14*INDEX(Paramètres!$C$31:$C$38,MIN(MAX(INT(N(J14)),0),7)+1)</f>
        <v>0</v>
      </c>
      <c r="S14" s="60" t="n">
        <f aca="false">ROUND(Q14-R14,0)</f>
        <v>23133</v>
      </c>
      <c r="T14" s="57" t="n">
        <f aca="false">ROUND(N($E14)*Paramètres!$C$13,0)</f>
        <v>10395</v>
      </c>
      <c r="U14" s="57" t="n">
        <f aca="false">ROUND(MAX(0,N($E14)-(Q14-R14)-M14)*Paramètres!$C$12,0)</f>
        <v>3043</v>
      </c>
      <c r="V14" s="60" t="n">
        <f aca="false">ROUND(N($E14)-M14-S14-U14,0)</f>
        <v>301281</v>
      </c>
    </row>
    <row r="15" customFormat="false" ht="17.25" hidden="false" customHeight="true" outlineLevel="0" collapsed="false">
      <c r="B15" s="53" t="n">
        <v>9</v>
      </c>
      <c r="C15" s="54" t="s">
        <v>14</v>
      </c>
      <c r="D15" s="55" t="n">
        <v>46092</v>
      </c>
      <c r="E15" s="56" t="n">
        <f aca="false">'Jan-fév-mars-avril-mai-juin'!J13</f>
        <v>165340</v>
      </c>
      <c r="F15" s="57" t="n">
        <f aca="false">MIN(ROUNDDOWN(N($E15)*Paramètres!$C$16,0),Paramètres!$D$16)</f>
        <v>33068</v>
      </c>
      <c r="G15" s="57" t="n">
        <f aca="false">MIN(ROUNDDOWN(N($E15)*Paramètres!$C$17,0),Paramètres!$D$17)</f>
        <v>8267</v>
      </c>
      <c r="H15" s="57" t="n">
        <f aca="false">MIN(ROUNDDOWN(N($E15)*Paramètres!$C$18,0),Paramètres!$D$18)</f>
        <v>8267</v>
      </c>
      <c r="I15" s="57" t="n">
        <f aca="false">N($E15)-(F15+G15+H15)</f>
        <v>115738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49602</v>
      </c>
      <c r="M15" s="57" t="n">
        <f aca="false">MIN(N($E15),Paramètres!$C$7)*Paramètres!$C$6</f>
        <v>9093.7</v>
      </c>
      <c r="N15" s="57" t="n">
        <f aca="false">MIN(M15,I15*Paramètres!$C$8)</f>
        <v>9093.7</v>
      </c>
      <c r="O15" s="57" t="n">
        <f aca="false">I15*IF(K15="Cadre supérieur",Paramètres!$C$10,Paramètres!$C$9)</f>
        <v>28934.5</v>
      </c>
      <c r="P15" s="57" t="n">
        <f aca="false">MAX(0,ROUNDDOWN(N($E15)-L15-N15-O15,-2))</f>
        <v>77700</v>
      </c>
      <c r="Q15" s="57" t="n">
        <f aca="false">SUMPRODUCT((P15&gt;Paramètres!$B$21:$B$27)*(P15-Paramètres!$B$21:$B$27)*Paramètres!$E$21:$E$27)</f>
        <v>6270.3</v>
      </c>
      <c r="R15" s="57" t="n">
        <f aca="false">Q15*INDEX(Paramètres!$C$31:$C$38,MIN(MAX(INT(N(J15)),0),7)+1)</f>
        <v>0</v>
      </c>
      <c r="S15" s="60" t="n">
        <f aca="false">ROUND(Q15-R15,0)</f>
        <v>6270</v>
      </c>
      <c r="T15" s="57" t="n">
        <f aca="false">ROUND(N($E15)*Paramètres!$C$13,0)</f>
        <v>4960</v>
      </c>
      <c r="U15" s="57" t="n">
        <f aca="false">ROUND(MAX(0,N($E15)-(Q15-R15)-M15)*Paramètres!$C$12,0)</f>
        <v>1500</v>
      </c>
      <c r="V15" s="60" t="n">
        <f aca="false">ROUND(N($E15)-M15-S15-U15,0)</f>
        <v>148476</v>
      </c>
    </row>
    <row r="16" customFormat="false" ht="21.75" hidden="false" customHeight="true" outlineLevel="0" collapsed="false">
      <c r="B16" s="61" t="s">
        <v>15</v>
      </c>
      <c r="C16" s="61"/>
      <c r="D16" s="61"/>
      <c r="E16" s="62" t="n">
        <f aca="false">SUM(E7:E15)</f>
        <v>2273172</v>
      </c>
      <c r="F16" s="62" t="n">
        <f aca="false">SUM(F7:F15)</f>
        <v>454632</v>
      </c>
      <c r="G16" s="62" t="n">
        <f aca="false">SUM(G7:G15)</f>
        <v>113653</v>
      </c>
      <c r="H16" s="62" t="n">
        <f aca="false">SUM(H7:H15)</f>
        <v>113653</v>
      </c>
      <c r="I16" s="62" t="n">
        <f aca="false">SUM(I7:I15)</f>
        <v>1591234</v>
      </c>
      <c r="L16" s="62" t="n">
        <f aca="false">SUM(L7:L15)</f>
        <v>681938</v>
      </c>
      <c r="M16" s="62" t="n">
        <f aca="false">SUM(M7:M15)</f>
        <v>125024.46</v>
      </c>
      <c r="N16" s="62" t="n">
        <f aca="false">SUM(N7:N15)</f>
        <v>125024.46</v>
      </c>
      <c r="O16" s="62" t="n">
        <f aca="false">SUM(O7:O15)</f>
        <v>337717.15</v>
      </c>
      <c r="P16" s="62" t="n">
        <f aca="false">SUM(P7:P15)</f>
        <v>1128000</v>
      </c>
      <c r="Q16" s="62" t="n">
        <f aca="false">SUM(Q7:Q15)</f>
        <v>128339.4</v>
      </c>
      <c r="R16" s="62" t="n">
        <f aca="false">SUM(R7:R15)</f>
        <v>0</v>
      </c>
      <c r="S16" s="63" t="n">
        <f aca="false">SUM(S7:S15)</f>
        <v>128338</v>
      </c>
      <c r="T16" s="62" t="n">
        <f aca="false">SUM(T7:T15)</f>
        <v>68193</v>
      </c>
      <c r="U16" s="62" t="n">
        <f aca="false">SUM(U7:U15)</f>
        <v>20196</v>
      </c>
      <c r="V16" s="63" t="n">
        <f aca="false">SUM(V7:V15)</f>
        <v>1999614</v>
      </c>
    </row>
    <row r="17" customFormat="false" ht="21.75" hidden="false" customHeight="true" outlineLevel="0" collapsed="false">
      <c r="B17" s="64" t="s">
        <v>125</v>
      </c>
      <c r="C17" s="64"/>
      <c r="D17" s="64"/>
      <c r="E17" s="65" t="n">
        <f aca="false">Mai!E17+E16</f>
        <v>9892145</v>
      </c>
      <c r="S17" s="66" t="n">
        <f aca="false">Mai!S17+S16</f>
        <v>528854</v>
      </c>
      <c r="T17" s="65" t="n">
        <f aca="false">Mai!T17+T16</f>
        <v>296761</v>
      </c>
      <c r="U17" s="65" t="n">
        <f aca="false">Mai!U17+U16</f>
        <v>88188</v>
      </c>
      <c r="V17" s="66" t="n">
        <f aca="false">Mai!V17+V16</f>
        <v>8731035</v>
      </c>
    </row>
    <row r="19" customFormat="false" ht="15" hidden="false" customHeight="false" outlineLevel="0" collapsed="false">
      <c r="C19" s="67" t="s">
        <v>126</v>
      </c>
    </row>
    <row r="20" customFormat="false" ht="15" hidden="false" customHeight="false" outlineLevel="0" collapsed="false">
      <c r="C20" s="68" t="s">
        <v>127</v>
      </c>
    </row>
    <row r="21" customFormat="false" ht="15" hidden="false" customHeight="false" outlineLevel="0" collapsed="false">
      <c r="C21" s="68" t="s">
        <v>128</v>
      </c>
    </row>
    <row r="22" customFormat="false" ht="15" hidden="false" customHeight="false" outlineLevel="0" collapsed="false">
      <c r="C22" s="68" t="s">
        <v>129</v>
      </c>
    </row>
    <row r="23" customFormat="false" ht="15" hidden="false" customHeight="false" outlineLevel="0" collapsed="false">
      <c r="C23" s="68" t="s">
        <v>130</v>
      </c>
    </row>
    <row r="24" customFormat="false" ht="15" hidden="false" customHeight="false" outlineLevel="0" collapsed="false">
      <c r="C24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142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143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17</v>
      </c>
      <c r="D7" s="55" t="n">
        <v>46242</v>
      </c>
      <c r="E7" s="56" t="n">
        <f aca="false">'Juill-aout-sept 2026'!E5</f>
        <v>0</v>
      </c>
      <c r="F7" s="57" t="n">
        <f aca="false">MIN(ROUNDDOWN(N($E7)*Paramètres!$C$16,0),Paramètres!$D$16)</f>
        <v>0</v>
      </c>
      <c r="G7" s="57" t="n">
        <f aca="false">MIN(ROUNDDOWN(N($E7)*Paramètres!$C$17,0),Paramètres!$D$17)</f>
        <v>0</v>
      </c>
      <c r="H7" s="57" t="n">
        <f aca="false">MIN(ROUNDDOWN(N($E7)*Paramètres!$C$18,0),Paramètres!$D$18)</f>
        <v>0</v>
      </c>
      <c r="I7" s="57" t="n">
        <f aca="false">N($E7)-(F7+G7+H7)</f>
        <v>0</v>
      </c>
      <c r="J7" s="58" t="n">
        <v>0</v>
      </c>
      <c r="K7" s="59" t="str">
        <f aca="false">IF(I7&lt;Paramètres!$C$11,"Cadre inférieur","Cadre supérieur")</f>
        <v>Cadre inférieur</v>
      </c>
      <c r="L7" s="57" t="n">
        <f aca="false">MIN(F7,MIN(N($E7)*Paramètres!$C$16,Paramètres!$D$16))+MIN(G7,MIN(N($E7)*Paramètres!$C$17,Paramètres!$D$17))+MIN(H7,MIN(N($E7)*Paramètres!$C$18,Paramètres!$D$18))</f>
        <v>0</v>
      </c>
      <c r="M7" s="57" t="n">
        <f aca="false">MIN(N($E7),Paramètres!$C$7)*Paramètres!$C$6</f>
        <v>0</v>
      </c>
      <c r="N7" s="57" t="n">
        <f aca="false">MIN(M7,I7*Paramètres!$C$8)</f>
        <v>0</v>
      </c>
      <c r="O7" s="57" t="n">
        <f aca="false">I7*IF(K7="Cadre supérieur",Paramètres!$C$10,Paramètres!$C$9)</f>
        <v>0</v>
      </c>
      <c r="P7" s="57" t="n">
        <f aca="false">MAX(0,ROUNDDOWN(N($E7)-L7-N7-O7,-2))</f>
        <v>0</v>
      </c>
      <c r="Q7" s="57" t="n">
        <f aca="false">SUMPRODUCT((P7&gt;Paramètres!$B$21:$B$27)*(P7-Paramètres!$B$21:$B$27)*Paramètres!$E$21:$E$27)</f>
        <v>0</v>
      </c>
      <c r="R7" s="57" t="n">
        <f aca="false">Q7*INDEX(Paramètres!$C$31:$C$38,MIN(MAX(INT(N(J7)),0),7)+1)</f>
        <v>0</v>
      </c>
      <c r="S7" s="60" t="n">
        <f aca="false">ROUND(Q7-R7,0)</f>
        <v>0</v>
      </c>
      <c r="T7" s="57" t="n">
        <f aca="false">ROUND(N($E7)*Paramètres!$C$13,0)</f>
        <v>0</v>
      </c>
      <c r="U7" s="57" t="n">
        <f aca="false">ROUND(MAX(0,N($E7)-(Q7-R7)-M7)*Paramètres!$C$12,0)</f>
        <v>0</v>
      </c>
      <c r="V7" s="60" t="n">
        <f aca="false">ROUND(N($E7)-M7-S7-U7,0)</f>
        <v>0</v>
      </c>
    </row>
    <row r="8" customFormat="false" ht="17.25" hidden="false" customHeight="true" outlineLevel="0" collapsed="false">
      <c r="B8" s="53" t="n">
        <v>2</v>
      </c>
      <c r="C8" s="54" t="s">
        <v>18</v>
      </c>
      <c r="D8" s="55" t="n">
        <v>46196</v>
      </c>
      <c r="E8" s="56" t="n">
        <f aca="false">'Juill-aout-sept 2026'!E6</f>
        <v>0</v>
      </c>
      <c r="F8" s="57" t="n">
        <f aca="false">MIN(ROUNDDOWN(N($E8)*Paramètres!$C$16,0),Paramètres!$D$16)</f>
        <v>0</v>
      </c>
      <c r="G8" s="57" t="n">
        <f aca="false">MIN(ROUNDDOWN(N($E8)*Paramètres!$C$17,0),Paramètres!$D$17)</f>
        <v>0</v>
      </c>
      <c r="H8" s="57" t="n">
        <f aca="false">MIN(ROUNDDOWN(N($E8)*Paramètres!$C$18,0),Paramètres!$D$18)</f>
        <v>0</v>
      </c>
      <c r="I8" s="57" t="n">
        <f aca="false">N($E8)-(F8+G8+H8)</f>
        <v>0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0</v>
      </c>
      <c r="M8" s="57" t="n">
        <f aca="false">MIN(N($E8),Paramètres!$C$7)*Paramètres!$C$6</f>
        <v>0</v>
      </c>
      <c r="N8" s="57" t="n">
        <f aca="false">MIN(M8,I8*Paramètres!$C$8)</f>
        <v>0</v>
      </c>
      <c r="O8" s="57" t="n">
        <f aca="false">I8*IF(K8="Cadre supérieur",Paramètres!$C$10,Paramètres!$C$9)</f>
        <v>0</v>
      </c>
      <c r="P8" s="57" t="n">
        <f aca="false">MAX(0,ROUNDDOWN(N($E8)-L8-N8-O8,-2))</f>
        <v>0</v>
      </c>
      <c r="Q8" s="57" t="n">
        <f aca="false">SUMPRODUCT((P8&gt;Paramètres!$B$21:$B$27)*(P8-Paramètres!$B$21:$B$27)*Paramètres!$E$21:$E$27)</f>
        <v>0</v>
      </c>
      <c r="R8" s="57" t="n">
        <f aca="false">Q8*INDEX(Paramètres!$C$31:$C$38,MIN(MAX(INT(N(J8)),0),7)+1)</f>
        <v>0</v>
      </c>
      <c r="S8" s="60" t="n">
        <f aca="false">ROUND(Q8-R8,0)</f>
        <v>0</v>
      </c>
      <c r="T8" s="57" t="n">
        <f aca="false">ROUND(N($E8)*Paramètres!$C$13,0)</f>
        <v>0</v>
      </c>
      <c r="U8" s="57" t="n">
        <f aca="false">ROUND(MAX(0,N($E8)-(Q8-R8)-M8)*Paramètres!$C$12,0)</f>
        <v>0</v>
      </c>
      <c r="V8" s="60" t="n">
        <f aca="false">ROUND(N($E8)-M8-S8-U8,0)</f>
        <v>0</v>
      </c>
    </row>
    <row r="9" customFormat="false" ht="17.25" hidden="false" customHeight="true" outlineLevel="0" collapsed="false">
      <c r="B9" s="53" t="n">
        <v>3</v>
      </c>
      <c r="C9" s="54" t="s">
        <v>19</v>
      </c>
      <c r="D9" s="55" t="n">
        <v>46000</v>
      </c>
      <c r="E9" s="56" t="n">
        <f aca="false">'Juill-aout-sept 2026'!E7</f>
        <v>177387</v>
      </c>
      <c r="F9" s="57" t="n">
        <f aca="false">MIN(ROUNDDOWN(N($E9)*Paramètres!$C$16,0),Paramètres!$D$16)</f>
        <v>35477</v>
      </c>
      <c r="G9" s="57" t="n">
        <f aca="false">MIN(ROUNDDOWN(N($E9)*Paramètres!$C$17,0),Paramètres!$D$17)</f>
        <v>8869</v>
      </c>
      <c r="H9" s="57" t="n">
        <f aca="false">MIN(ROUNDDOWN(N($E9)*Paramètres!$C$18,0),Paramètres!$D$18)</f>
        <v>8869</v>
      </c>
      <c r="I9" s="57" t="n">
        <f aca="false">N($E9)-(F9+G9+H9)</f>
        <v>124172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53215</v>
      </c>
      <c r="M9" s="57" t="n">
        <f aca="false">MIN(N($E9),Paramètres!$C$7)*Paramètres!$C$6</f>
        <v>9756.285</v>
      </c>
      <c r="N9" s="57" t="n">
        <f aca="false">MIN(M9,I9*Paramètres!$C$8)</f>
        <v>9756.285</v>
      </c>
      <c r="O9" s="57" t="n">
        <f aca="false">I9*IF(K9="Cadre supérieur",Paramètres!$C$10,Paramètres!$C$9)</f>
        <v>31043</v>
      </c>
      <c r="P9" s="57" t="n">
        <f aca="false">MAX(0,ROUNDDOWN(N($E9)-L9-N9-O9,-2))</f>
        <v>83300</v>
      </c>
      <c r="Q9" s="57" t="n">
        <f aca="false">SUMPRODUCT((P9&gt;Paramètres!$B$21:$B$27)*(P9-Paramètres!$B$21:$B$27)*Paramètres!$E$21:$E$27)</f>
        <v>7108.1</v>
      </c>
      <c r="R9" s="57" t="n">
        <f aca="false">Q9*INDEX(Paramètres!$C$31:$C$38,MIN(MAX(INT(N(J9)),0),7)+1)</f>
        <v>0</v>
      </c>
      <c r="S9" s="60" t="n">
        <f aca="false">ROUND(Q9-R9,0)</f>
        <v>7108</v>
      </c>
      <c r="T9" s="57" t="n">
        <f aca="false">ROUND(N($E9)*Paramètres!$C$13,0)</f>
        <v>5322</v>
      </c>
      <c r="U9" s="57" t="n">
        <f aca="false">ROUND(MAX(0,N($E9)-(Q9-R9)-M9)*Paramètres!$C$12,0)</f>
        <v>1605</v>
      </c>
      <c r="V9" s="60" t="n">
        <f aca="false">ROUND(N($E9)-M9-S9-U9,0)</f>
        <v>158918</v>
      </c>
    </row>
    <row r="10" customFormat="false" ht="17.25" hidden="false" customHeight="true" outlineLevel="0" collapsed="false">
      <c r="B10" s="53" t="n">
        <v>4</v>
      </c>
      <c r="C10" s="54" t="s">
        <v>12</v>
      </c>
      <c r="D10" s="55" t="n">
        <v>45677</v>
      </c>
      <c r="E10" s="56" t="n">
        <f aca="false">'Juill-aout-sept 2026'!E8</f>
        <v>346515</v>
      </c>
      <c r="F10" s="57" t="n">
        <f aca="false">MIN(ROUNDDOWN(N($E10)*Paramètres!$C$16,0),Paramètres!$D$16)</f>
        <v>69303</v>
      </c>
      <c r="G10" s="57" t="n">
        <f aca="false">MIN(ROUNDDOWN(N($E10)*Paramètres!$C$17,0),Paramètres!$D$17)</f>
        <v>17325</v>
      </c>
      <c r="H10" s="57" t="n">
        <f aca="false">MIN(ROUNDDOWN(N($E10)*Paramètres!$C$18,0),Paramètres!$D$18)</f>
        <v>17325</v>
      </c>
      <c r="I10" s="57" t="n">
        <f aca="false">N($E10)-(F10+G10+H10)</f>
        <v>242562</v>
      </c>
      <c r="J10" s="58" t="n">
        <v>0</v>
      </c>
      <c r="K10" s="59" t="str">
        <f aca="false">IF(I10&lt;Paramètres!$C$11,"Cadre inférieur","Cadre supérieur")</f>
        <v>Cadre supérieur</v>
      </c>
      <c r="L10" s="57" t="n">
        <f aca="false">MIN(F10,MIN(N($E10)*Paramètres!$C$16,Paramètres!$D$16))+MIN(G10,MIN(N($E10)*Paramètres!$C$17,Paramètres!$D$17))+MIN(H10,MIN(N($E10)*Paramètres!$C$18,Paramètres!$D$18))</f>
        <v>103953</v>
      </c>
      <c r="M10" s="57" t="n">
        <f aca="false">MIN(N($E10),Paramètres!$C$7)*Paramètres!$C$6</f>
        <v>19058.325</v>
      </c>
      <c r="N10" s="57" t="n">
        <f aca="false">MIN(M10,I10*Paramètres!$C$8)</f>
        <v>19058.325</v>
      </c>
      <c r="O10" s="57" t="n">
        <f aca="false">I10*IF(K10="Cadre supérieur",Paramètres!$C$10,Paramètres!$C$9)</f>
        <v>48512.4</v>
      </c>
      <c r="P10" s="57" t="n">
        <f aca="false">MAX(0,ROUNDDOWN(N($E10)-L10-N10-O10,-2))</f>
        <v>174900</v>
      </c>
      <c r="Q10" s="57" t="n">
        <f aca="false">SUMPRODUCT((P10&gt;Paramètres!$B$21:$B$27)*(P10-Paramètres!$B$21:$B$27)*Paramètres!$E$21:$E$27)</f>
        <v>23133.3</v>
      </c>
      <c r="R10" s="57" t="n">
        <f aca="false">Q10*INDEX(Paramètres!$C$31:$C$38,MIN(MAX(INT(N(J10)),0),7)+1)</f>
        <v>0</v>
      </c>
      <c r="S10" s="60" t="n">
        <f aca="false">ROUND(Q10-R10,0)</f>
        <v>23133</v>
      </c>
      <c r="T10" s="57" t="n">
        <f aca="false">ROUND(N($E10)*Paramètres!$C$13,0)</f>
        <v>10395</v>
      </c>
      <c r="U10" s="57" t="n">
        <f aca="false">ROUND(MAX(0,N($E10)-(Q10-R10)-M10)*Paramètres!$C$12,0)</f>
        <v>3043</v>
      </c>
      <c r="V10" s="60" t="n">
        <f aca="false">ROUND(N($E10)-M10-S10-U10,0)</f>
        <v>301281</v>
      </c>
    </row>
    <row r="11" customFormat="false" ht="17.25" hidden="false" customHeight="true" outlineLevel="0" collapsed="false">
      <c r="B11" s="53" t="n">
        <v>5</v>
      </c>
      <c r="C11" s="54" t="s">
        <v>20</v>
      </c>
      <c r="D11" s="55" t="n">
        <v>46023</v>
      </c>
      <c r="E11" s="56" t="n">
        <f aca="false">'Juill-aout-sept 2026'!E9</f>
        <v>165340</v>
      </c>
      <c r="F11" s="57" t="n">
        <f aca="false">MIN(ROUNDDOWN(N($E11)*Paramètres!$C$16,0),Paramètres!$D$16)</f>
        <v>33068</v>
      </c>
      <c r="G11" s="57" t="n">
        <f aca="false">MIN(ROUNDDOWN(N($E11)*Paramètres!$C$17,0),Paramètres!$D$17)</f>
        <v>8267</v>
      </c>
      <c r="H11" s="57" t="n">
        <f aca="false">MIN(ROUNDDOWN(N($E11)*Paramètres!$C$18,0),Paramètres!$D$18)</f>
        <v>8267</v>
      </c>
      <c r="I11" s="57" t="n">
        <f aca="false">N($E11)-(F11+G11+H11)</f>
        <v>115738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49602</v>
      </c>
      <c r="M11" s="57" t="n">
        <f aca="false">MIN(N($E11),Paramètres!$C$7)*Paramètres!$C$6</f>
        <v>9093.7</v>
      </c>
      <c r="N11" s="57" t="n">
        <f aca="false">MIN(M11,I11*Paramètres!$C$8)</f>
        <v>9093.7</v>
      </c>
      <c r="O11" s="57" t="n">
        <f aca="false">I11*IF(K11="Cadre supérieur",Paramètres!$C$10,Paramètres!$C$9)</f>
        <v>28934.5</v>
      </c>
      <c r="P11" s="57" t="n">
        <f aca="false">MAX(0,ROUNDDOWN(N($E11)-L11-N11-O11,-2))</f>
        <v>77700</v>
      </c>
      <c r="Q11" s="57" t="n">
        <f aca="false">SUMPRODUCT((P11&gt;Paramètres!$B$21:$B$27)*(P11-Paramètres!$B$21:$B$27)*Paramètres!$E$21:$E$27)</f>
        <v>6270.3</v>
      </c>
      <c r="R11" s="57" t="n">
        <f aca="false">Q11*INDEX(Paramètres!$C$31:$C$38,MIN(MAX(INT(N(J11)),0),7)+1)</f>
        <v>0</v>
      </c>
      <c r="S11" s="60" t="n">
        <f aca="false">ROUND(Q11-R11,0)</f>
        <v>6270</v>
      </c>
      <c r="T11" s="57" t="n">
        <f aca="false">ROUND(N($E11)*Paramètres!$C$13,0)</f>
        <v>4960</v>
      </c>
      <c r="U11" s="57" t="n">
        <f aca="false">ROUND(MAX(0,N($E11)-(Q11-R11)-M11)*Paramètres!$C$12,0)</f>
        <v>1500</v>
      </c>
      <c r="V11" s="60" t="n">
        <f aca="false">ROUND(N($E11)-M11-S11-U11,0)</f>
        <v>148476</v>
      </c>
    </row>
    <row r="12" customFormat="false" ht="17.25" hidden="false" customHeight="true" outlineLevel="0" collapsed="false">
      <c r="B12" s="53" t="n">
        <v>6</v>
      </c>
      <c r="C12" s="54" t="s">
        <v>21</v>
      </c>
      <c r="D12" s="55" t="n">
        <v>46217</v>
      </c>
      <c r="E12" s="56" t="n">
        <f aca="false">'Juill-aout-sept 2026'!E10</f>
        <v>0</v>
      </c>
      <c r="F12" s="57" t="n">
        <f aca="false">MIN(ROUNDDOWN(N($E12)*Paramètres!$C$16,0),Paramètres!$D$16)</f>
        <v>0</v>
      </c>
      <c r="G12" s="57" t="n">
        <f aca="false">MIN(ROUNDDOWN(N($E12)*Paramètres!$C$17,0),Paramètres!$D$17)</f>
        <v>0</v>
      </c>
      <c r="H12" s="57" t="n">
        <f aca="false">MIN(ROUNDDOWN(N($E12)*Paramètres!$C$18,0),Paramètres!$D$18)</f>
        <v>0</v>
      </c>
      <c r="I12" s="57" t="n">
        <f aca="false">N($E12)-(F12+G12+H12)</f>
        <v>0</v>
      </c>
      <c r="J12" s="58" t="n">
        <v>0</v>
      </c>
      <c r="K12" s="59" t="str">
        <f aca="false">IF(I12&lt;Paramètres!$C$11,"Cadre inférieur","Cadre supérieur")</f>
        <v>Cadre inférieur</v>
      </c>
      <c r="L12" s="57" t="n">
        <f aca="false">MIN(F12,MIN(N($E12)*Paramètres!$C$16,Paramètres!$D$16))+MIN(G12,MIN(N($E12)*Paramètres!$C$17,Paramètres!$D$17))+MIN(H12,MIN(N($E12)*Paramètres!$C$18,Paramètres!$D$18))</f>
        <v>0</v>
      </c>
      <c r="M12" s="57" t="n">
        <f aca="false">MIN(N($E12),Paramètres!$C$7)*Paramètres!$C$6</f>
        <v>0</v>
      </c>
      <c r="N12" s="57" t="n">
        <f aca="false">MIN(M12,I12*Paramètres!$C$8)</f>
        <v>0</v>
      </c>
      <c r="O12" s="57" t="n">
        <f aca="false">I12*IF(K12="Cadre supérieur",Paramètres!$C$10,Paramètres!$C$9)</f>
        <v>0</v>
      </c>
      <c r="P12" s="57" t="n">
        <f aca="false">MAX(0,ROUNDDOWN(N($E12)-L12-N12-O12,-2))</f>
        <v>0</v>
      </c>
      <c r="Q12" s="57" t="n">
        <f aca="false">SUMPRODUCT((P12&gt;Paramètres!$B$21:$B$27)*(P12-Paramètres!$B$21:$B$27)*Paramètres!$E$21:$E$27)</f>
        <v>0</v>
      </c>
      <c r="R12" s="57" t="n">
        <f aca="false">Q12*INDEX(Paramètres!$C$31:$C$38,MIN(MAX(INT(N(J12)),0),7)+1)</f>
        <v>0</v>
      </c>
      <c r="S12" s="60" t="n">
        <f aca="false">ROUND(Q12-R12,0)</f>
        <v>0</v>
      </c>
      <c r="T12" s="57" t="n">
        <f aca="false">ROUND(N($E12)*Paramètres!$C$13,0)</f>
        <v>0</v>
      </c>
      <c r="U12" s="57" t="n">
        <f aca="false">ROUND(MAX(0,N($E12)-(Q12-R12)-M12)*Paramètres!$C$12,0)</f>
        <v>0</v>
      </c>
      <c r="V12" s="60" t="n">
        <f aca="false">ROUND(N($E12)-M12-S12-U12,0)</f>
        <v>0</v>
      </c>
    </row>
    <row r="13" customFormat="false" ht="17.25" hidden="false" customHeight="true" outlineLevel="0" collapsed="false">
      <c r="B13" s="53" t="n">
        <v>7</v>
      </c>
      <c r="C13" s="54" t="s">
        <v>22</v>
      </c>
      <c r="D13" s="55" t="n">
        <v>46174</v>
      </c>
      <c r="E13" s="56" t="n">
        <f aca="false">'Juill-aout-sept 2026'!E11</f>
        <v>195484</v>
      </c>
      <c r="F13" s="57" t="n">
        <f aca="false">MIN(ROUNDDOWN(N($E13)*Paramètres!$C$16,0),Paramètres!$D$16)</f>
        <v>39096</v>
      </c>
      <c r="G13" s="57" t="n">
        <f aca="false">MIN(ROUNDDOWN(N($E13)*Paramètres!$C$17,0),Paramètres!$D$17)</f>
        <v>9774</v>
      </c>
      <c r="H13" s="57" t="n">
        <f aca="false">MIN(ROUNDDOWN(N($E13)*Paramètres!$C$18,0),Paramètres!$D$18)</f>
        <v>9774</v>
      </c>
      <c r="I13" s="57" t="n">
        <f aca="false">N($E13)-(F13+G13+H13)</f>
        <v>136840</v>
      </c>
      <c r="J13" s="58" t="n">
        <v>0</v>
      </c>
      <c r="K13" s="59" t="str">
        <f aca="false">IF(I13&lt;Paramètres!$C$11,"Cadre inférieur","Cadre supérieur")</f>
        <v>Cadre inférieur</v>
      </c>
      <c r="L13" s="57" t="n">
        <f aca="false">MIN(F13,MIN(N($E13)*Paramètres!$C$16,Paramètres!$D$16))+MIN(G13,MIN(N($E13)*Paramètres!$C$17,Paramètres!$D$17))+MIN(H13,MIN(N($E13)*Paramètres!$C$18,Paramètres!$D$18))</f>
        <v>58644</v>
      </c>
      <c r="M13" s="57" t="n">
        <f aca="false">MIN(N($E13),Paramètres!$C$7)*Paramètres!$C$6</f>
        <v>10751.62</v>
      </c>
      <c r="N13" s="57" t="n">
        <f aca="false">MIN(M13,I13*Paramètres!$C$8)</f>
        <v>10751.62</v>
      </c>
      <c r="O13" s="57" t="n">
        <f aca="false">I13*IF(K13="Cadre supérieur",Paramètres!$C$10,Paramètres!$C$9)</f>
        <v>34210</v>
      </c>
      <c r="P13" s="57" t="n">
        <f aca="false">MAX(0,ROUNDDOWN(N($E13)-L13-N13-O13,-2))</f>
        <v>91800</v>
      </c>
      <c r="Q13" s="57" t="n">
        <f aca="false">SUMPRODUCT((P13&gt;Paramètres!$B$21:$B$27)*(P13-Paramètres!$B$21:$B$27)*Paramètres!$E$21:$E$27)</f>
        <v>8442.6</v>
      </c>
      <c r="R13" s="57" t="n">
        <f aca="false">Q13*INDEX(Paramètres!$C$31:$C$38,MIN(MAX(INT(N(J13)),0),7)+1)</f>
        <v>0</v>
      </c>
      <c r="S13" s="60" t="n">
        <f aca="false">ROUND(Q13-R13,0)</f>
        <v>8443</v>
      </c>
      <c r="T13" s="57" t="n">
        <f aca="false">ROUND(N($E13)*Paramètres!$C$13,0)</f>
        <v>5865</v>
      </c>
      <c r="U13" s="57" t="n">
        <f aca="false">ROUND(MAX(0,N($E13)-(Q13-R13)-M13)*Paramètres!$C$12,0)</f>
        <v>1763</v>
      </c>
      <c r="V13" s="60" t="n">
        <f aca="false">ROUND(N($E13)-M13-S13-U13,0)</f>
        <v>174526</v>
      </c>
    </row>
    <row r="14" customFormat="false" ht="17.25" hidden="false" customHeight="true" outlineLevel="0" collapsed="false">
      <c r="B14" s="53" t="n">
        <v>8</v>
      </c>
      <c r="C14" s="54" t="s">
        <v>23</v>
      </c>
      <c r="D14" s="55" t="n">
        <v>45778</v>
      </c>
      <c r="E14" s="56" t="n">
        <f aca="false">'Juill-aout-sept 2026'!E12</f>
        <v>213566</v>
      </c>
      <c r="F14" s="57" t="n">
        <f aca="false">MIN(ROUNDDOWN(N($E14)*Paramètres!$C$16,0),Paramètres!$D$16)</f>
        <v>42713</v>
      </c>
      <c r="G14" s="57" t="n">
        <f aca="false">MIN(ROUNDDOWN(N($E14)*Paramètres!$C$17,0),Paramètres!$D$17)</f>
        <v>10678</v>
      </c>
      <c r="H14" s="57" t="n">
        <f aca="false">MIN(ROUNDDOWN(N($E14)*Paramètres!$C$18,0),Paramètres!$D$18)</f>
        <v>10678</v>
      </c>
      <c r="I14" s="57" t="n">
        <f aca="false">N($E14)-(F14+G14+H14)</f>
        <v>149497</v>
      </c>
      <c r="J14" s="58" t="n">
        <v>0</v>
      </c>
      <c r="K14" s="59" t="str">
        <f aca="false">IF(I14&lt;Paramètres!$C$11,"Cadre inférieur","Cadre supérieur")</f>
        <v>Cadre inférieur</v>
      </c>
      <c r="L14" s="57" t="n">
        <f aca="false">MIN(F14,MIN(N($E14)*Paramètres!$C$16,Paramètres!$D$16))+MIN(G14,MIN(N($E14)*Paramètres!$C$17,Paramètres!$D$17))+MIN(H14,MIN(N($E14)*Paramètres!$C$18,Paramètres!$D$18))</f>
        <v>64069</v>
      </c>
      <c r="M14" s="57" t="n">
        <f aca="false">MIN(N($E14),Paramètres!$C$7)*Paramètres!$C$6</f>
        <v>11746.13</v>
      </c>
      <c r="N14" s="57" t="n">
        <f aca="false">MIN(M14,I14*Paramètres!$C$8)</f>
        <v>11746.13</v>
      </c>
      <c r="O14" s="57" t="n">
        <f aca="false">I14*IF(K14="Cadre supérieur",Paramètres!$C$10,Paramètres!$C$9)</f>
        <v>37374.25</v>
      </c>
      <c r="P14" s="57" t="n">
        <f aca="false">MAX(0,ROUNDDOWN(N($E14)-L14-N14-O14,-2))</f>
        <v>100300</v>
      </c>
      <c r="Q14" s="57" t="n">
        <f aca="false">SUMPRODUCT((P14&gt;Paramètres!$B$21:$B$27)*(P14-Paramètres!$B$21:$B$27)*Paramètres!$E$21:$E$27)</f>
        <v>9777.1</v>
      </c>
      <c r="R14" s="57" t="n">
        <f aca="false">Q14*INDEX(Paramètres!$C$31:$C$38,MIN(MAX(INT(N(J14)),0),7)+1)</f>
        <v>0</v>
      </c>
      <c r="S14" s="60" t="n">
        <f aca="false">ROUND(Q14-R14,0)</f>
        <v>9777</v>
      </c>
      <c r="T14" s="57" t="n">
        <f aca="false">ROUND(N($E14)*Paramètres!$C$13,0)</f>
        <v>6407</v>
      </c>
      <c r="U14" s="57" t="n">
        <f aca="false">ROUND(MAX(0,N($E14)-(Q14-R14)-M14)*Paramètres!$C$12,0)</f>
        <v>1920</v>
      </c>
      <c r="V14" s="60" t="n">
        <f aca="false">ROUND(N($E14)-M14-S14-U14,0)</f>
        <v>190123</v>
      </c>
    </row>
    <row r="15" customFormat="false" ht="17.25" hidden="false" customHeight="true" outlineLevel="0" collapsed="false">
      <c r="B15" s="53" t="n">
        <v>9</v>
      </c>
      <c r="C15" s="54" t="s">
        <v>24</v>
      </c>
      <c r="D15" s="55" t="n">
        <v>46250</v>
      </c>
      <c r="E15" s="56" t="n">
        <f aca="false">'Juill-aout-sept 2026'!E13</f>
        <v>0</v>
      </c>
      <c r="F15" s="57" t="n">
        <f aca="false">MIN(ROUNDDOWN(N($E15)*Paramètres!$C$16,0),Paramètres!$D$16)</f>
        <v>0</v>
      </c>
      <c r="G15" s="57" t="n">
        <f aca="false">MIN(ROUNDDOWN(N($E15)*Paramètres!$C$17,0),Paramètres!$D$17)</f>
        <v>0</v>
      </c>
      <c r="H15" s="57" t="n">
        <f aca="false">MIN(ROUNDDOWN(N($E15)*Paramètres!$C$18,0),Paramètres!$D$18)</f>
        <v>0</v>
      </c>
      <c r="I15" s="57" t="n">
        <f aca="false">N($E15)-(F15+G15+H15)</f>
        <v>0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0</v>
      </c>
      <c r="M15" s="57" t="n">
        <f aca="false">MIN(N($E15),Paramètres!$C$7)*Paramètres!$C$6</f>
        <v>0</v>
      </c>
      <c r="N15" s="57" t="n">
        <f aca="false">MIN(M15,I15*Paramètres!$C$8)</f>
        <v>0</v>
      </c>
      <c r="O15" s="57" t="n">
        <f aca="false">I15*IF(K15="Cadre supérieur",Paramètres!$C$10,Paramètres!$C$9)</f>
        <v>0</v>
      </c>
      <c r="P15" s="57" t="n">
        <f aca="false">MAX(0,ROUNDDOWN(N($E15)-L15-N15-O15,-2))</f>
        <v>0</v>
      </c>
      <c r="Q15" s="57" t="n">
        <f aca="false">SUMPRODUCT((P15&gt;Paramètres!$B$21:$B$27)*(P15-Paramètres!$B$21:$B$27)*Paramètres!$E$21:$E$27)</f>
        <v>0</v>
      </c>
      <c r="R15" s="57" t="n">
        <f aca="false">Q15*INDEX(Paramètres!$C$31:$C$38,MIN(MAX(INT(N(J15)),0),7)+1)</f>
        <v>0</v>
      </c>
      <c r="S15" s="60" t="n">
        <f aca="false">ROUND(Q15-R15,0)</f>
        <v>0</v>
      </c>
      <c r="T15" s="57" t="n">
        <f aca="false">ROUND(N($E15)*Paramètres!$C$13,0)</f>
        <v>0</v>
      </c>
      <c r="U15" s="57" t="n">
        <f aca="false">ROUND(MAX(0,N($E15)-(Q15-R15)-M15)*Paramètres!$C$12,0)</f>
        <v>0</v>
      </c>
      <c r="V15" s="60" t="n">
        <f aca="false">ROUND(N($E15)-M15-S15-U15,0)</f>
        <v>0</v>
      </c>
    </row>
    <row r="16" customFormat="false" ht="17.25" hidden="false" customHeight="true" outlineLevel="0" collapsed="false">
      <c r="B16" s="53" t="n">
        <v>10</v>
      </c>
      <c r="C16" s="54" t="s">
        <v>25</v>
      </c>
      <c r="D16" s="55" t="n">
        <v>45778</v>
      </c>
      <c r="E16" s="56" t="n">
        <f aca="false">'Juill-aout-sept 2026'!E14</f>
        <v>213563</v>
      </c>
      <c r="F16" s="57" t="n">
        <f aca="false">MIN(ROUNDDOWN(N($E16)*Paramètres!$C$16,0),Paramètres!$D$16)</f>
        <v>42712</v>
      </c>
      <c r="G16" s="57" t="n">
        <f aca="false">MIN(ROUNDDOWN(N($E16)*Paramètres!$C$17,0),Paramètres!$D$17)</f>
        <v>10678</v>
      </c>
      <c r="H16" s="57" t="n">
        <f aca="false">MIN(ROUNDDOWN(N($E16)*Paramètres!$C$18,0),Paramètres!$D$18)</f>
        <v>10678</v>
      </c>
      <c r="I16" s="57" t="n">
        <f aca="false">N($E16)-(F16+G16+H16)</f>
        <v>149495</v>
      </c>
      <c r="J16" s="58" t="n">
        <v>0</v>
      </c>
      <c r="K16" s="59" t="str">
        <f aca="false">IF(I16&lt;Paramètres!$C$11,"Cadre inférieur","Cadre supérieur")</f>
        <v>Cadre inférieur</v>
      </c>
      <c r="L16" s="57" t="n">
        <f aca="false">MIN(F16,MIN(N($E16)*Paramètres!$C$16,Paramètres!$D$16))+MIN(G16,MIN(N($E16)*Paramètres!$C$17,Paramètres!$D$17))+MIN(H16,MIN(N($E16)*Paramètres!$C$18,Paramètres!$D$18))</f>
        <v>64068</v>
      </c>
      <c r="M16" s="57" t="n">
        <f aca="false">MIN(N($E16),Paramètres!$C$7)*Paramètres!$C$6</f>
        <v>11745.965</v>
      </c>
      <c r="N16" s="57" t="n">
        <f aca="false">MIN(M16,I16*Paramètres!$C$8)</f>
        <v>11745.965</v>
      </c>
      <c r="O16" s="57" t="n">
        <f aca="false">I16*IF(K16="Cadre supérieur",Paramètres!$C$10,Paramètres!$C$9)</f>
        <v>37373.75</v>
      </c>
      <c r="P16" s="57" t="n">
        <f aca="false">MAX(0,ROUNDDOWN(N($E16)-L16-N16-O16,-2))</f>
        <v>100300</v>
      </c>
      <c r="Q16" s="57" t="n">
        <f aca="false">SUMPRODUCT((P16&gt;Paramètres!$B$21:$B$27)*(P16-Paramètres!$B$21:$B$27)*Paramètres!$E$21:$E$27)</f>
        <v>9777.1</v>
      </c>
      <c r="R16" s="57" t="n">
        <f aca="false">Q16*INDEX(Paramètres!$C$31:$C$38,MIN(MAX(INT(N(J16)),0),7)+1)</f>
        <v>0</v>
      </c>
      <c r="S16" s="60" t="n">
        <f aca="false">ROUND(Q16-R16,0)</f>
        <v>9777</v>
      </c>
      <c r="T16" s="57" t="n">
        <f aca="false">ROUND(N($E16)*Paramètres!$C$13,0)</f>
        <v>6407</v>
      </c>
      <c r="U16" s="57" t="n">
        <f aca="false">ROUND(MAX(0,N($E16)-(Q16-R16)-M16)*Paramètres!$C$12,0)</f>
        <v>1920</v>
      </c>
      <c r="V16" s="60" t="n">
        <f aca="false">ROUND(N($E16)-M16-S16-U16,0)</f>
        <v>190120</v>
      </c>
    </row>
    <row r="17" customFormat="false" ht="17.25" hidden="false" customHeight="true" outlineLevel="0" collapsed="false">
      <c r="B17" s="53" t="n">
        <v>11</v>
      </c>
      <c r="C17" s="54" t="s">
        <v>26</v>
      </c>
      <c r="D17" s="55" t="n">
        <v>45778</v>
      </c>
      <c r="E17" s="56" t="n">
        <f aca="false">'Juill-aout-sept 2026'!E15</f>
        <v>213563</v>
      </c>
      <c r="F17" s="57" t="n">
        <f aca="false">MIN(ROUNDDOWN(N($E17)*Paramètres!$C$16,0),Paramètres!$D$16)</f>
        <v>42712</v>
      </c>
      <c r="G17" s="57" t="n">
        <f aca="false">MIN(ROUNDDOWN(N($E17)*Paramètres!$C$17,0),Paramètres!$D$17)</f>
        <v>10678</v>
      </c>
      <c r="H17" s="57" t="n">
        <f aca="false">MIN(ROUNDDOWN(N($E17)*Paramètres!$C$18,0),Paramètres!$D$18)</f>
        <v>10678</v>
      </c>
      <c r="I17" s="57" t="n">
        <f aca="false">N($E17)-(F17+G17+H17)</f>
        <v>149495</v>
      </c>
      <c r="J17" s="58" t="n">
        <v>0</v>
      </c>
      <c r="K17" s="59" t="str">
        <f aca="false">IF(I17&lt;Paramètres!$C$11,"Cadre inférieur","Cadre supérieur")</f>
        <v>Cadre inférieur</v>
      </c>
      <c r="L17" s="57" t="n">
        <f aca="false">MIN(F17,MIN(N($E17)*Paramètres!$C$16,Paramètres!$D$16))+MIN(G17,MIN(N($E17)*Paramètres!$C$17,Paramètres!$D$17))+MIN(H17,MIN(N($E17)*Paramètres!$C$18,Paramètres!$D$18))</f>
        <v>64068</v>
      </c>
      <c r="M17" s="57" t="n">
        <f aca="false">MIN(N($E17),Paramètres!$C$7)*Paramètres!$C$6</f>
        <v>11745.965</v>
      </c>
      <c r="N17" s="57" t="n">
        <f aca="false">MIN(M17,I17*Paramètres!$C$8)</f>
        <v>11745.965</v>
      </c>
      <c r="O17" s="57" t="n">
        <f aca="false">I17*IF(K17="Cadre supérieur",Paramètres!$C$10,Paramètres!$C$9)</f>
        <v>37373.75</v>
      </c>
      <c r="P17" s="57" t="n">
        <f aca="false">MAX(0,ROUNDDOWN(N($E17)-L17-N17-O17,-2))</f>
        <v>100300</v>
      </c>
      <c r="Q17" s="57" t="n">
        <f aca="false">SUMPRODUCT((P17&gt;Paramètres!$B$21:$B$27)*(P17-Paramètres!$B$21:$B$27)*Paramètres!$E$21:$E$27)</f>
        <v>9777.1</v>
      </c>
      <c r="R17" s="57" t="n">
        <f aca="false">Q17*INDEX(Paramètres!$C$31:$C$38,MIN(MAX(INT(N(J17)),0),7)+1)</f>
        <v>0</v>
      </c>
      <c r="S17" s="60" t="n">
        <f aca="false">ROUND(Q17-R17,0)</f>
        <v>9777</v>
      </c>
      <c r="T17" s="57" t="n">
        <f aca="false">ROUND(N($E17)*Paramètres!$C$13,0)</f>
        <v>6407</v>
      </c>
      <c r="U17" s="57" t="n">
        <f aca="false">ROUND(MAX(0,N($E17)-(Q17-R17)-M17)*Paramètres!$C$12,0)</f>
        <v>1920</v>
      </c>
      <c r="V17" s="60" t="n">
        <f aca="false">ROUND(N($E17)-M17-S17-U17,0)</f>
        <v>190120</v>
      </c>
    </row>
    <row r="18" customFormat="false" ht="17.25" hidden="false" customHeight="true" outlineLevel="0" collapsed="false">
      <c r="B18" s="53" t="n">
        <v>12</v>
      </c>
      <c r="C18" s="54" t="s">
        <v>27</v>
      </c>
      <c r="D18" s="55" t="n">
        <v>46183</v>
      </c>
      <c r="E18" s="56" t="n">
        <f aca="false">'Juill-aout-sept 2026'!E16</f>
        <v>80000</v>
      </c>
      <c r="F18" s="57" t="n">
        <f aca="false">MIN(ROUNDDOWN(N($E18)*Paramètres!$C$16,0),Paramètres!$D$16)</f>
        <v>16000</v>
      </c>
      <c r="G18" s="57" t="n">
        <f aca="false">MIN(ROUNDDOWN(N($E18)*Paramètres!$C$17,0),Paramètres!$D$17)</f>
        <v>4000</v>
      </c>
      <c r="H18" s="57" t="n">
        <f aca="false">MIN(ROUNDDOWN(N($E18)*Paramètres!$C$18,0),Paramètres!$D$18)</f>
        <v>4000</v>
      </c>
      <c r="I18" s="57" t="n">
        <f aca="false">N($E18)-(F18+G18+H18)</f>
        <v>56000</v>
      </c>
      <c r="J18" s="58" t="n">
        <v>0</v>
      </c>
      <c r="K18" s="59" t="str">
        <f aca="false">IF(I18&lt;Paramètres!$C$11,"Cadre inférieur","Cadre supérieur")</f>
        <v>Cadre inférieur</v>
      </c>
      <c r="L18" s="57" t="n">
        <f aca="false">MIN(F18,MIN(N($E18)*Paramètres!$C$16,Paramètres!$D$16))+MIN(G18,MIN(N($E18)*Paramètres!$C$17,Paramètres!$D$17))+MIN(H18,MIN(N($E18)*Paramètres!$C$18,Paramètres!$D$18))</f>
        <v>24000</v>
      </c>
      <c r="M18" s="57" t="n">
        <f aca="false">MIN(N($E18),Paramètres!$C$7)*Paramètres!$C$6</f>
        <v>4400</v>
      </c>
      <c r="N18" s="57" t="n">
        <f aca="false">MIN(M18,I18*Paramètres!$C$8)</f>
        <v>4400</v>
      </c>
      <c r="O18" s="57" t="n">
        <f aca="false">I18*IF(K18="Cadre supérieur",Paramètres!$C$10,Paramètres!$C$9)</f>
        <v>14000</v>
      </c>
      <c r="P18" s="57" t="n">
        <f aca="false">MAX(0,ROUNDDOWN(N($E18)-L18-N18-O18,-2))</f>
        <v>37600</v>
      </c>
      <c r="Q18" s="57" t="n">
        <f aca="false">SUMPRODUCT((P18&gt;Paramètres!$B$21:$B$27)*(P18-Paramètres!$B$21:$B$27)*Paramètres!$E$21:$E$27)</f>
        <v>919.6</v>
      </c>
      <c r="R18" s="57" t="n">
        <f aca="false">Q18*INDEX(Paramètres!$C$31:$C$38,MIN(MAX(INT(N(J18)),0),7)+1)</f>
        <v>0</v>
      </c>
      <c r="S18" s="60" t="n">
        <f aca="false">ROUND(Q18-R18,0)</f>
        <v>920</v>
      </c>
      <c r="T18" s="57" t="n">
        <f aca="false">ROUND(N($E18)*Paramètres!$C$13,0)</f>
        <v>2400</v>
      </c>
      <c r="U18" s="57" t="n">
        <f aca="false">ROUND(MAX(0,N($E18)-(Q18-R18)-M18)*Paramètres!$C$12,0)</f>
        <v>747</v>
      </c>
      <c r="V18" s="60" t="n">
        <f aca="false">ROUND(N($E18)-M18-S18-U18,0)</f>
        <v>73933</v>
      </c>
    </row>
    <row r="19" customFormat="false" ht="17.25" hidden="false" customHeight="true" outlineLevel="0" collapsed="false">
      <c r="B19" s="53"/>
      <c r="C19" s="54" t="s">
        <v>28</v>
      </c>
      <c r="D19" s="55"/>
      <c r="E19" s="56" t="n">
        <f aca="false">'Juill-aout-sept 2026'!E17</f>
        <v>0</v>
      </c>
      <c r="F19" s="57" t="n">
        <f aca="false">MIN(ROUNDDOWN(N($E19)*Paramètres!$C$16,0),Paramètres!$D$16)</f>
        <v>0</v>
      </c>
      <c r="G19" s="57" t="n">
        <f aca="false">MIN(ROUNDDOWN(N($E19)*Paramètres!$C$17,0),Paramètres!$D$17)</f>
        <v>0</v>
      </c>
      <c r="H19" s="57" t="n">
        <f aca="false">MIN(ROUNDDOWN(N($E19)*Paramètres!$C$18,0),Paramètres!$D$18)</f>
        <v>0</v>
      </c>
      <c r="I19" s="57" t="n">
        <f aca="false">N($E19)-(F19+G19+H19)</f>
        <v>0</v>
      </c>
      <c r="J19" s="58" t="n">
        <v>0</v>
      </c>
      <c r="K19" s="59" t="str">
        <f aca="false">IF(I19&lt;Paramètres!$C$11,"Cadre inférieur","Cadre supérieur")</f>
        <v>Cadre inférieur</v>
      </c>
      <c r="L19" s="57" t="n">
        <f aca="false">MIN(F19,MIN(N($E19)*Paramètres!$C$16,Paramètres!$D$16))+MIN(G19,MIN(N($E19)*Paramètres!$C$17,Paramètres!$D$17))+MIN(H19,MIN(N($E19)*Paramètres!$C$18,Paramètres!$D$18))</f>
        <v>0</v>
      </c>
      <c r="M19" s="57" t="n">
        <f aca="false">MIN(N($E19),Paramètres!$C$7)*Paramètres!$C$6</f>
        <v>0</v>
      </c>
      <c r="N19" s="57" t="n">
        <f aca="false">MIN(M19,I19*Paramètres!$C$8)</f>
        <v>0</v>
      </c>
      <c r="O19" s="57" t="n">
        <f aca="false">I19*IF(K19="Cadre supérieur",Paramètres!$C$10,Paramètres!$C$9)</f>
        <v>0</v>
      </c>
      <c r="P19" s="57" t="n">
        <f aca="false">MAX(0,ROUNDDOWN(N($E19)-L19-N19-O19,-2))</f>
        <v>0</v>
      </c>
      <c r="Q19" s="57" t="n">
        <f aca="false">SUMPRODUCT((P19&gt;Paramètres!$B$21:$B$27)*(P19-Paramètres!$B$21:$B$27)*Paramètres!$E$21:$E$27)</f>
        <v>0</v>
      </c>
      <c r="R19" s="57" t="n">
        <f aca="false">Q19*INDEX(Paramètres!$C$31:$C$38,MIN(MAX(INT(N(J19)),0),7)+1)</f>
        <v>0</v>
      </c>
      <c r="S19" s="60" t="n">
        <f aca="false">ROUND(Q19-R19,0)</f>
        <v>0</v>
      </c>
      <c r="T19" s="57" t="n">
        <f aca="false">ROUND(N($E19)*Paramètres!$C$13,0)</f>
        <v>0</v>
      </c>
      <c r="U19" s="57" t="n">
        <f aca="false">ROUND(MAX(0,N($E19)-(Q19-R19)-M19)*Paramètres!$C$12,0)</f>
        <v>0</v>
      </c>
      <c r="V19" s="60" t="n">
        <f aca="false">ROUND(N($E19)-M19-S19-U19,0)</f>
        <v>0</v>
      </c>
    </row>
    <row r="20" customFormat="false" ht="17.25" hidden="false" customHeight="true" outlineLevel="0" collapsed="false">
      <c r="B20" s="53" t="n">
        <v>13</v>
      </c>
      <c r="C20" s="54" t="s">
        <v>29</v>
      </c>
      <c r="D20" s="55" t="n">
        <v>45950</v>
      </c>
      <c r="E20" s="56" t="n">
        <f aca="false">'Juill-aout-sept 2026'!E18</f>
        <v>177387</v>
      </c>
      <c r="F20" s="57" t="n">
        <f aca="false">MIN(ROUNDDOWN(N($E20)*Paramètres!$C$16,0),Paramètres!$D$16)</f>
        <v>35477</v>
      </c>
      <c r="G20" s="57" t="n">
        <f aca="false">MIN(ROUNDDOWN(N($E20)*Paramètres!$C$17,0),Paramètres!$D$17)</f>
        <v>8869</v>
      </c>
      <c r="H20" s="57" t="n">
        <f aca="false">MIN(ROUNDDOWN(N($E20)*Paramètres!$C$18,0),Paramètres!$D$18)</f>
        <v>8869</v>
      </c>
      <c r="I20" s="57" t="n">
        <f aca="false">N($E20)-(F20+G20+H20)</f>
        <v>124172</v>
      </c>
      <c r="J20" s="58" t="n">
        <v>0</v>
      </c>
      <c r="K20" s="59" t="str">
        <f aca="false">IF(I20&lt;Paramètres!$C$11,"Cadre inférieur","Cadre supérieur")</f>
        <v>Cadre inférieur</v>
      </c>
      <c r="L20" s="57" t="n">
        <f aca="false">MIN(F20,MIN(N($E20)*Paramètres!$C$16,Paramètres!$D$16))+MIN(G20,MIN(N($E20)*Paramètres!$C$17,Paramètres!$D$17))+MIN(H20,MIN(N($E20)*Paramètres!$C$18,Paramètres!$D$18))</f>
        <v>53215</v>
      </c>
      <c r="M20" s="57" t="n">
        <f aca="false">MIN(N($E20),Paramètres!$C$7)*Paramètres!$C$6</f>
        <v>9756.285</v>
      </c>
      <c r="N20" s="57" t="n">
        <f aca="false">MIN(M20,I20*Paramètres!$C$8)</f>
        <v>9756.285</v>
      </c>
      <c r="O20" s="57" t="n">
        <f aca="false">I20*IF(K20="Cadre supérieur",Paramètres!$C$10,Paramètres!$C$9)</f>
        <v>31043</v>
      </c>
      <c r="P20" s="57" t="n">
        <f aca="false">MAX(0,ROUNDDOWN(N($E20)-L20-N20-O20,-2))</f>
        <v>83300</v>
      </c>
      <c r="Q20" s="57" t="n">
        <f aca="false">SUMPRODUCT((P20&gt;Paramètres!$B$21:$B$27)*(P20-Paramètres!$B$21:$B$27)*Paramètres!$E$21:$E$27)</f>
        <v>7108.1</v>
      </c>
      <c r="R20" s="57" t="n">
        <f aca="false">Q20*INDEX(Paramètres!$C$31:$C$38,MIN(MAX(INT(N(J20)),0),7)+1)</f>
        <v>0</v>
      </c>
      <c r="S20" s="60" t="n">
        <f aca="false">ROUND(Q20-R20,0)</f>
        <v>7108</v>
      </c>
      <c r="T20" s="57" t="n">
        <f aca="false">ROUND(N($E20)*Paramètres!$C$13,0)</f>
        <v>5322</v>
      </c>
      <c r="U20" s="57" t="n">
        <f aca="false">ROUND(MAX(0,N($E20)-(Q20-R20)-M20)*Paramètres!$C$12,0)</f>
        <v>1605</v>
      </c>
      <c r="V20" s="60" t="n">
        <f aca="false">ROUND(N($E20)-M20-S20-U20,0)</f>
        <v>158918</v>
      </c>
    </row>
    <row r="21" customFormat="false" ht="17.25" hidden="false" customHeight="true" outlineLevel="0" collapsed="false">
      <c r="B21" s="53" t="n">
        <v>14</v>
      </c>
      <c r="C21" s="54" t="s">
        <v>30</v>
      </c>
      <c r="D21" s="55" t="n">
        <v>46183</v>
      </c>
      <c r="E21" s="56" t="n">
        <f aca="false">'Juill-aout-sept 2026'!E19</f>
        <v>0</v>
      </c>
      <c r="F21" s="57" t="n">
        <f aca="false">MIN(ROUNDDOWN(N($E21)*Paramètres!$C$16,0),Paramètres!$D$16)</f>
        <v>0</v>
      </c>
      <c r="G21" s="57" t="n">
        <f aca="false">MIN(ROUNDDOWN(N($E21)*Paramètres!$C$17,0),Paramètres!$D$17)</f>
        <v>0</v>
      </c>
      <c r="H21" s="57" t="n">
        <f aca="false">MIN(ROUNDDOWN(N($E21)*Paramètres!$C$18,0),Paramètres!$D$18)</f>
        <v>0</v>
      </c>
      <c r="I21" s="57" t="n">
        <f aca="false">N($E21)-(F21+G21+H21)</f>
        <v>0</v>
      </c>
      <c r="J21" s="58" t="n">
        <v>0</v>
      </c>
      <c r="K21" s="59" t="str">
        <f aca="false">IF(I21&lt;Paramètres!$C$11,"Cadre inférieur","Cadre supérieur")</f>
        <v>Cadre inférieur</v>
      </c>
      <c r="L21" s="57" t="n">
        <f aca="false">MIN(F21,MIN(N($E21)*Paramètres!$C$16,Paramètres!$D$16))+MIN(G21,MIN(N($E21)*Paramètres!$C$17,Paramètres!$D$17))+MIN(H21,MIN(N($E21)*Paramètres!$C$18,Paramètres!$D$18))</f>
        <v>0</v>
      </c>
      <c r="M21" s="57" t="n">
        <f aca="false">MIN(N($E21),Paramètres!$C$7)*Paramètres!$C$6</f>
        <v>0</v>
      </c>
      <c r="N21" s="57" t="n">
        <f aca="false">MIN(M21,I21*Paramètres!$C$8)</f>
        <v>0</v>
      </c>
      <c r="O21" s="57" t="n">
        <f aca="false">I21*IF(K21="Cadre supérieur",Paramètres!$C$10,Paramètres!$C$9)</f>
        <v>0</v>
      </c>
      <c r="P21" s="57" t="n">
        <f aca="false">MAX(0,ROUNDDOWN(N($E21)-L21-N21-O21,-2))</f>
        <v>0</v>
      </c>
      <c r="Q21" s="57" t="n">
        <f aca="false">SUMPRODUCT((P21&gt;Paramètres!$B$21:$B$27)*(P21-Paramètres!$B$21:$B$27)*Paramètres!$E$21:$E$27)</f>
        <v>0</v>
      </c>
      <c r="R21" s="57" t="n">
        <f aca="false">Q21*INDEX(Paramètres!$C$31:$C$38,MIN(MAX(INT(N(J21)),0),7)+1)</f>
        <v>0</v>
      </c>
      <c r="S21" s="60" t="n">
        <f aca="false">ROUND(Q21-R21,0)</f>
        <v>0</v>
      </c>
      <c r="T21" s="57" t="n">
        <f aca="false">ROUND(N($E21)*Paramètres!$C$13,0)</f>
        <v>0</v>
      </c>
      <c r="U21" s="57" t="n">
        <f aca="false">ROUND(MAX(0,N($E21)-(Q21-R21)-M21)*Paramètres!$C$12,0)</f>
        <v>0</v>
      </c>
      <c r="V21" s="60" t="n">
        <f aca="false">ROUND(N($E21)-M21-S21-U21,0)</f>
        <v>0</v>
      </c>
    </row>
    <row r="22" customFormat="false" ht="17.25" hidden="false" customHeight="true" outlineLevel="0" collapsed="false">
      <c r="B22" s="53" t="n">
        <v>15</v>
      </c>
      <c r="C22" s="54" t="s">
        <v>31</v>
      </c>
      <c r="D22" s="55" t="n">
        <v>46139</v>
      </c>
      <c r="E22" s="56" t="n">
        <f aca="false">'Juill-aout-sept 2026'!E20</f>
        <v>135983</v>
      </c>
      <c r="F22" s="57" t="n">
        <f aca="false">MIN(ROUNDDOWN(N($E22)*Paramètres!$C$16,0),Paramètres!$D$16)</f>
        <v>27196</v>
      </c>
      <c r="G22" s="57" t="n">
        <f aca="false">MIN(ROUNDDOWN(N($E22)*Paramètres!$C$17,0),Paramètres!$D$17)</f>
        <v>6799</v>
      </c>
      <c r="H22" s="57" t="n">
        <f aca="false">MIN(ROUNDDOWN(N($E22)*Paramètres!$C$18,0),Paramètres!$D$18)</f>
        <v>6799</v>
      </c>
      <c r="I22" s="57" t="n">
        <f aca="false">N($E22)-(F22+G22+H22)</f>
        <v>95189</v>
      </c>
      <c r="J22" s="58" t="n">
        <v>0</v>
      </c>
      <c r="K22" s="59" t="str">
        <f aca="false">IF(I22&lt;Paramètres!$C$11,"Cadre inférieur","Cadre supérieur")</f>
        <v>Cadre inférieur</v>
      </c>
      <c r="L22" s="57" t="n">
        <f aca="false">MIN(F22,MIN(N($E22)*Paramètres!$C$16,Paramètres!$D$16))+MIN(G22,MIN(N($E22)*Paramètres!$C$17,Paramètres!$D$17))+MIN(H22,MIN(N($E22)*Paramètres!$C$18,Paramètres!$D$18))</f>
        <v>40794</v>
      </c>
      <c r="M22" s="57" t="n">
        <f aca="false">MIN(N($E22),Paramètres!$C$7)*Paramètres!$C$6</f>
        <v>7479.065</v>
      </c>
      <c r="N22" s="57" t="n">
        <f aca="false">MIN(M22,I22*Paramètres!$C$8)</f>
        <v>7479.065</v>
      </c>
      <c r="O22" s="57" t="n">
        <f aca="false">I22*IF(K22="Cadre supérieur",Paramètres!$C$10,Paramètres!$C$9)</f>
        <v>23797.25</v>
      </c>
      <c r="P22" s="57" t="n">
        <f aca="false">MAX(0,ROUNDDOWN(N($E22)-L22-N22-O22,-2))</f>
        <v>63900</v>
      </c>
      <c r="Q22" s="57" t="n">
        <f aca="false">SUMPRODUCT((P22&gt;Paramètres!$B$21:$B$27)*(P22-Paramètres!$B$21:$B$27)*Paramètres!$E$21:$E$27)</f>
        <v>4352.1</v>
      </c>
      <c r="R22" s="57" t="n">
        <f aca="false">Q22*INDEX(Paramètres!$C$31:$C$38,MIN(MAX(INT(N(J22)),0),7)+1)</f>
        <v>0</v>
      </c>
      <c r="S22" s="60" t="n">
        <f aca="false">ROUND(Q22-R22,0)</f>
        <v>4352</v>
      </c>
      <c r="T22" s="57" t="n">
        <f aca="false">ROUND(N($E22)*Paramètres!$C$13,0)</f>
        <v>4079</v>
      </c>
      <c r="U22" s="57" t="n">
        <f aca="false">ROUND(MAX(0,N($E22)-(Q22-R22)-M22)*Paramètres!$C$12,0)</f>
        <v>1242</v>
      </c>
      <c r="V22" s="60" t="n">
        <f aca="false">ROUND(N($E22)-M22-S22-U22,0)</f>
        <v>122910</v>
      </c>
    </row>
    <row r="23" customFormat="false" ht="17.25" hidden="false" customHeight="true" outlineLevel="0" collapsed="false">
      <c r="B23" s="53" t="n">
        <v>16</v>
      </c>
      <c r="C23" s="54" t="s">
        <v>32</v>
      </c>
      <c r="D23" s="55" t="n">
        <v>45809</v>
      </c>
      <c r="E23" s="56" t="n">
        <f aca="false">'Juill-aout-sept 2026'!E21</f>
        <v>135983</v>
      </c>
      <c r="F23" s="57" t="n">
        <f aca="false">MIN(ROUNDDOWN(N($E23)*Paramètres!$C$16,0),Paramètres!$D$16)</f>
        <v>27196</v>
      </c>
      <c r="G23" s="57" t="n">
        <f aca="false">MIN(ROUNDDOWN(N($E23)*Paramètres!$C$17,0),Paramètres!$D$17)</f>
        <v>6799</v>
      </c>
      <c r="H23" s="57" t="n">
        <f aca="false">MIN(ROUNDDOWN(N($E23)*Paramètres!$C$18,0),Paramètres!$D$18)</f>
        <v>6799</v>
      </c>
      <c r="I23" s="57" t="n">
        <f aca="false">N($E23)-(F23+G23+H23)</f>
        <v>95189</v>
      </c>
      <c r="J23" s="58" t="n">
        <v>0</v>
      </c>
      <c r="K23" s="59" t="str">
        <f aca="false">IF(I23&lt;Paramètres!$C$11,"Cadre inférieur","Cadre supérieur")</f>
        <v>Cadre inférieur</v>
      </c>
      <c r="L23" s="57" t="n">
        <f aca="false">MIN(F23,MIN(N($E23)*Paramètres!$C$16,Paramètres!$D$16))+MIN(G23,MIN(N($E23)*Paramètres!$C$17,Paramètres!$D$17))+MIN(H23,MIN(N($E23)*Paramètres!$C$18,Paramètres!$D$18))</f>
        <v>40794</v>
      </c>
      <c r="M23" s="57" t="n">
        <f aca="false">MIN(N($E23),Paramètres!$C$7)*Paramètres!$C$6</f>
        <v>7479.065</v>
      </c>
      <c r="N23" s="57" t="n">
        <f aca="false">MIN(M23,I23*Paramètres!$C$8)</f>
        <v>7479.065</v>
      </c>
      <c r="O23" s="57" t="n">
        <f aca="false">I23*IF(K23="Cadre supérieur",Paramètres!$C$10,Paramètres!$C$9)</f>
        <v>23797.25</v>
      </c>
      <c r="P23" s="57" t="n">
        <f aca="false">MAX(0,ROUNDDOWN(N($E23)-L23-N23-O23,-2))</f>
        <v>63900</v>
      </c>
      <c r="Q23" s="57" t="n">
        <f aca="false">SUMPRODUCT((P23&gt;Paramètres!$B$21:$B$27)*(P23-Paramètres!$B$21:$B$27)*Paramètres!$E$21:$E$27)</f>
        <v>4352.1</v>
      </c>
      <c r="R23" s="57" t="n">
        <f aca="false">Q23*INDEX(Paramètres!$C$31:$C$38,MIN(MAX(INT(N(J23)),0),7)+1)</f>
        <v>0</v>
      </c>
      <c r="S23" s="60" t="n">
        <f aca="false">ROUND(Q23-R23,0)</f>
        <v>4352</v>
      </c>
      <c r="T23" s="57" t="n">
        <f aca="false">ROUND(N($E23)*Paramètres!$C$13,0)</f>
        <v>4079</v>
      </c>
      <c r="U23" s="57" t="n">
        <f aca="false">ROUND(MAX(0,N($E23)-(Q23-R23)-M23)*Paramètres!$C$12,0)</f>
        <v>1242</v>
      </c>
      <c r="V23" s="60" t="n">
        <f aca="false">ROUND(N($E23)-M23-S23-U23,0)</f>
        <v>122910</v>
      </c>
    </row>
    <row r="24" customFormat="false" ht="17.25" hidden="false" customHeight="true" outlineLevel="0" collapsed="false">
      <c r="B24" s="53" t="n">
        <v>17</v>
      </c>
      <c r="C24" s="54" t="s">
        <v>33</v>
      </c>
      <c r="D24" s="55" t="n">
        <v>46174</v>
      </c>
      <c r="E24" s="56" t="n">
        <f aca="false">'Juill-aout-sept 2026'!E22</f>
        <v>0</v>
      </c>
      <c r="F24" s="57" t="n">
        <f aca="false">MIN(ROUNDDOWN(N($E24)*Paramètres!$C$16,0),Paramètres!$D$16)</f>
        <v>0</v>
      </c>
      <c r="G24" s="57" t="n">
        <f aca="false">MIN(ROUNDDOWN(N($E24)*Paramètres!$C$17,0),Paramètres!$D$17)</f>
        <v>0</v>
      </c>
      <c r="H24" s="57" t="n">
        <f aca="false">MIN(ROUNDDOWN(N($E24)*Paramètres!$C$18,0),Paramètres!$D$18)</f>
        <v>0</v>
      </c>
      <c r="I24" s="57" t="n">
        <f aca="false">N($E24)-(F24+G24+H24)</f>
        <v>0</v>
      </c>
      <c r="J24" s="58" t="n">
        <v>0</v>
      </c>
      <c r="K24" s="59" t="str">
        <f aca="false">IF(I24&lt;Paramètres!$C$11,"Cadre inférieur","Cadre supérieur")</f>
        <v>Cadre inférieur</v>
      </c>
      <c r="L24" s="57" t="n">
        <f aca="false">MIN(F24,MIN(N($E24)*Paramètres!$C$16,Paramètres!$D$16))+MIN(G24,MIN(N($E24)*Paramètres!$C$17,Paramètres!$D$17))+MIN(H24,MIN(N($E24)*Paramètres!$C$18,Paramètres!$D$18))</f>
        <v>0</v>
      </c>
      <c r="M24" s="57" t="n">
        <f aca="false">MIN(N($E24),Paramètres!$C$7)*Paramètres!$C$6</f>
        <v>0</v>
      </c>
      <c r="N24" s="57" t="n">
        <f aca="false">MIN(M24,I24*Paramètres!$C$8)</f>
        <v>0</v>
      </c>
      <c r="O24" s="57" t="n">
        <f aca="false">I24*IF(K24="Cadre supérieur",Paramètres!$C$10,Paramètres!$C$9)</f>
        <v>0</v>
      </c>
      <c r="P24" s="57" t="n">
        <f aca="false">MAX(0,ROUNDDOWN(N($E24)-L24-N24-O24,-2))</f>
        <v>0</v>
      </c>
      <c r="Q24" s="57" t="n">
        <f aca="false">SUMPRODUCT((P24&gt;Paramètres!$B$21:$B$27)*(P24-Paramètres!$B$21:$B$27)*Paramètres!$E$21:$E$27)</f>
        <v>0</v>
      </c>
      <c r="R24" s="57" t="n">
        <f aca="false">Q24*INDEX(Paramètres!$C$31:$C$38,MIN(MAX(INT(N(J24)),0),7)+1)</f>
        <v>0</v>
      </c>
      <c r="S24" s="60" t="n">
        <f aca="false">ROUND(Q24-R24,0)</f>
        <v>0</v>
      </c>
      <c r="T24" s="57" t="n">
        <f aca="false">ROUND(N($E24)*Paramètres!$C$13,0)</f>
        <v>0</v>
      </c>
      <c r="U24" s="57" t="n">
        <f aca="false">ROUND(MAX(0,N($E24)-(Q24-R24)-M24)*Paramètres!$C$12,0)</f>
        <v>0</v>
      </c>
      <c r="V24" s="60" t="n">
        <f aca="false">ROUND(N($E24)-M24-S24-U24,0)</f>
        <v>0</v>
      </c>
    </row>
    <row r="25" customFormat="false" ht="17.25" hidden="false" customHeight="true" outlineLevel="0" collapsed="false">
      <c r="B25" s="53" t="n">
        <v>18</v>
      </c>
      <c r="C25" s="54" t="s">
        <v>34</v>
      </c>
      <c r="D25" s="55" t="n">
        <v>45924</v>
      </c>
      <c r="E25" s="56" t="n">
        <f aca="false">'Juill-aout-sept 2026'!E23</f>
        <v>0</v>
      </c>
      <c r="F25" s="57" t="n">
        <f aca="false">MIN(ROUNDDOWN(N($E25)*Paramètres!$C$16,0),Paramètres!$D$16)</f>
        <v>0</v>
      </c>
      <c r="G25" s="57" t="n">
        <f aca="false">MIN(ROUNDDOWN(N($E25)*Paramètres!$C$17,0),Paramètres!$D$17)</f>
        <v>0</v>
      </c>
      <c r="H25" s="57" t="n">
        <f aca="false">MIN(ROUNDDOWN(N($E25)*Paramètres!$C$18,0),Paramètres!$D$18)</f>
        <v>0</v>
      </c>
      <c r="I25" s="57" t="n">
        <f aca="false">N($E25)-(F25+G25+H25)</f>
        <v>0</v>
      </c>
      <c r="J25" s="58" t="n">
        <v>0</v>
      </c>
      <c r="K25" s="59" t="str">
        <f aca="false">IF(I25&lt;Paramètres!$C$11,"Cadre inférieur","Cadre supérieur")</f>
        <v>Cadre inférieur</v>
      </c>
      <c r="L25" s="57" t="n">
        <f aca="false">MIN(F25,MIN(N($E25)*Paramètres!$C$16,Paramètres!$D$16))+MIN(G25,MIN(N($E25)*Paramètres!$C$17,Paramètres!$D$17))+MIN(H25,MIN(N($E25)*Paramètres!$C$18,Paramètres!$D$18))</f>
        <v>0</v>
      </c>
      <c r="M25" s="57" t="n">
        <f aca="false">MIN(N($E25),Paramètres!$C$7)*Paramètres!$C$6</f>
        <v>0</v>
      </c>
      <c r="N25" s="57" t="n">
        <f aca="false">MIN(M25,I25*Paramètres!$C$8)</f>
        <v>0</v>
      </c>
      <c r="O25" s="57" t="n">
        <f aca="false">I25*IF(K25="Cadre supérieur",Paramètres!$C$10,Paramètres!$C$9)</f>
        <v>0</v>
      </c>
      <c r="P25" s="57" t="n">
        <f aca="false">MAX(0,ROUNDDOWN(N($E25)-L25-N25-O25,-2))</f>
        <v>0</v>
      </c>
      <c r="Q25" s="57" t="n">
        <f aca="false">SUMPRODUCT((P25&gt;Paramètres!$B$21:$B$27)*(P25-Paramètres!$B$21:$B$27)*Paramètres!$E$21:$E$27)</f>
        <v>0</v>
      </c>
      <c r="R25" s="57" t="n">
        <f aca="false">Q25*INDEX(Paramètres!$C$31:$C$38,MIN(MAX(INT(N(J25)),0),7)+1)</f>
        <v>0</v>
      </c>
      <c r="S25" s="60" t="n">
        <f aca="false">ROUND(Q25-R25,0)</f>
        <v>0</v>
      </c>
      <c r="T25" s="57" t="n">
        <f aca="false">ROUND(N($E25)*Paramètres!$C$13,0)</f>
        <v>0</v>
      </c>
      <c r="U25" s="57" t="n">
        <f aca="false">ROUND(MAX(0,N($E25)-(Q25-R25)-M25)*Paramètres!$C$12,0)</f>
        <v>0</v>
      </c>
      <c r="V25" s="60" t="n">
        <f aca="false">ROUND(N($E25)-M25-S25-U25,0)</f>
        <v>0</v>
      </c>
    </row>
    <row r="26" customFormat="false" ht="17.25" hidden="false" customHeight="true" outlineLevel="0" collapsed="false">
      <c r="B26" s="53" t="n">
        <v>19</v>
      </c>
      <c r="C26" s="54" t="s">
        <v>35</v>
      </c>
      <c r="D26" s="55" t="n">
        <v>46216</v>
      </c>
      <c r="E26" s="56" t="n">
        <f aca="false">'Juill-aout-sept 2026'!E24</f>
        <v>135983</v>
      </c>
      <c r="F26" s="57" t="n">
        <f aca="false">MIN(ROUNDDOWN(N($E26)*Paramètres!$C$16,0),Paramètres!$D$16)</f>
        <v>27196</v>
      </c>
      <c r="G26" s="57" t="n">
        <f aca="false">MIN(ROUNDDOWN(N($E26)*Paramètres!$C$17,0),Paramètres!$D$17)</f>
        <v>6799</v>
      </c>
      <c r="H26" s="57" t="n">
        <f aca="false">MIN(ROUNDDOWN(N($E26)*Paramètres!$C$18,0),Paramètres!$D$18)</f>
        <v>6799</v>
      </c>
      <c r="I26" s="57" t="n">
        <f aca="false">N($E26)-(F26+G26+H26)</f>
        <v>95189</v>
      </c>
      <c r="J26" s="58" t="n">
        <v>0</v>
      </c>
      <c r="K26" s="59" t="str">
        <f aca="false">IF(I26&lt;Paramètres!$C$11,"Cadre inférieur","Cadre supérieur")</f>
        <v>Cadre inférieur</v>
      </c>
      <c r="L26" s="57" t="n">
        <f aca="false">MIN(F26,MIN(N($E26)*Paramètres!$C$16,Paramètres!$D$16))+MIN(G26,MIN(N($E26)*Paramètres!$C$17,Paramètres!$D$17))+MIN(H26,MIN(N($E26)*Paramètres!$C$18,Paramètres!$D$18))</f>
        <v>40794</v>
      </c>
      <c r="M26" s="57" t="n">
        <f aca="false">MIN(N($E26),Paramètres!$C$7)*Paramètres!$C$6</f>
        <v>7479.065</v>
      </c>
      <c r="N26" s="57" t="n">
        <f aca="false">MIN(M26,I26*Paramètres!$C$8)</f>
        <v>7479.065</v>
      </c>
      <c r="O26" s="57" t="n">
        <f aca="false">I26*IF(K26="Cadre supérieur",Paramètres!$C$10,Paramètres!$C$9)</f>
        <v>23797.25</v>
      </c>
      <c r="P26" s="57" t="n">
        <f aca="false">MAX(0,ROUNDDOWN(N($E26)-L26-N26-O26,-2))</f>
        <v>63900</v>
      </c>
      <c r="Q26" s="57" t="n">
        <f aca="false">SUMPRODUCT((P26&gt;Paramètres!$B$21:$B$27)*(P26-Paramètres!$B$21:$B$27)*Paramètres!$E$21:$E$27)</f>
        <v>4352.1</v>
      </c>
      <c r="R26" s="57" t="n">
        <f aca="false">Q26*INDEX(Paramètres!$C$31:$C$38,MIN(MAX(INT(N(J26)),0),7)+1)</f>
        <v>0</v>
      </c>
      <c r="S26" s="60" t="n">
        <f aca="false">ROUND(Q26-R26,0)</f>
        <v>4352</v>
      </c>
      <c r="T26" s="57" t="n">
        <f aca="false">ROUND(N($E26)*Paramètres!$C$13,0)</f>
        <v>4079</v>
      </c>
      <c r="U26" s="57" t="n">
        <f aca="false">ROUND(MAX(0,N($E26)-(Q26-R26)-M26)*Paramètres!$C$12,0)</f>
        <v>1242</v>
      </c>
      <c r="V26" s="60" t="n">
        <f aca="false">ROUND(N($E26)-M26-S26-U26,0)</f>
        <v>122910</v>
      </c>
    </row>
    <row r="27" customFormat="false" ht="17.25" hidden="false" customHeight="true" outlineLevel="0" collapsed="false">
      <c r="B27" s="53" t="n">
        <v>20</v>
      </c>
      <c r="C27" s="54" t="s">
        <v>10</v>
      </c>
      <c r="D27" s="55" t="n">
        <v>46000</v>
      </c>
      <c r="E27" s="56" t="n">
        <f aca="false">'Juill-aout-sept 2026'!E25</f>
        <v>177387</v>
      </c>
      <c r="F27" s="57" t="n">
        <f aca="false">MIN(ROUNDDOWN(N($E27)*Paramètres!$C$16,0),Paramètres!$D$16)</f>
        <v>35477</v>
      </c>
      <c r="G27" s="57" t="n">
        <f aca="false">MIN(ROUNDDOWN(N($E27)*Paramètres!$C$17,0),Paramètres!$D$17)</f>
        <v>8869</v>
      </c>
      <c r="H27" s="57" t="n">
        <f aca="false">MIN(ROUNDDOWN(N($E27)*Paramètres!$C$18,0),Paramètres!$D$18)</f>
        <v>8869</v>
      </c>
      <c r="I27" s="57" t="n">
        <f aca="false">N($E27)-(F27+G27+H27)</f>
        <v>124172</v>
      </c>
      <c r="J27" s="58" t="n">
        <v>0</v>
      </c>
      <c r="K27" s="59" t="str">
        <f aca="false">IF(I27&lt;Paramètres!$C$11,"Cadre inférieur","Cadre supérieur")</f>
        <v>Cadre inférieur</v>
      </c>
      <c r="L27" s="57" t="n">
        <f aca="false">MIN(F27,MIN(N($E27)*Paramètres!$C$16,Paramètres!$D$16))+MIN(G27,MIN(N($E27)*Paramètres!$C$17,Paramètres!$D$17))+MIN(H27,MIN(N($E27)*Paramètres!$C$18,Paramètres!$D$18))</f>
        <v>53215</v>
      </c>
      <c r="M27" s="57" t="n">
        <f aca="false">MIN(N($E27),Paramètres!$C$7)*Paramètres!$C$6</f>
        <v>9756.285</v>
      </c>
      <c r="N27" s="57" t="n">
        <f aca="false">MIN(M27,I27*Paramètres!$C$8)</f>
        <v>9756.285</v>
      </c>
      <c r="O27" s="57" t="n">
        <f aca="false">I27*IF(K27="Cadre supérieur",Paramètres!$C$10,Paramètres!$C$9)</f>
        <v>31043</v>
      </c>
      <c r="P27" s="57" t="n">
        <f aca="false">MAX(0,ROUNDDOWN(N($E27)-L27-N27-O27,-2))</f>
        <v>83300</v>
      </c>
      <c r="Q27" s="57" t="n">
        <f aca="false">SUMPRODUCT((P27&gt;Paramètres!$B$21:$B$27)*(P27-Paramètres!$B$21:$B$27)*Paramètres!$E$21:$E$27)</f>
        <v>7108.1</v>
      </c>
      <c r="R27" s="57" t="n">
        <f aca="false">Q27*INDEX(Paramètres!$C$31:$C$38,MIN(MAX(INT(N(J27)),0),7)+1)</f>
        <v>0</v>
      </c>
      <c r="S27" s="60" t="n">
        <f aca="false">ROUND(Q27-R27,0)</f>
        <v>7108</v>
      </c>
      <c r="T27" s="57" t="n">
        <f aca="false">ROUND(N($E27)*Paramètres!$C$13,0)</f>
        <v>5322</v>
      </c>
      <c r="U27" s="57" t="n">
        <f aca="false">ROUND(MAX(0,N($E27)-(Q27-R27)-M27)*Paramètres!$C$12,0)</f>
        <v>1605</v>
      </c>
      <c r="V27" s="60" t="n">
        <f aca="false">ROUND(N($E27)-M27-S27-U27,0)</f>
        <v>158918</v>
      </c>
    </row>
    <row r="28" customFormat="false" ht="17.25" hidden="false" customHeight="true" outlineLevel="0" collapsed="false">
      <c r="B28" s="53" t="n">
        <v>21</v>
      </c>
      <c r="C28" s="54" t="s">
        <v>36</v>
      </c>
      <c r="D28" s="55" t="n">
        <v>46283</v>
      </c>
      <c r="E28" s="56" t="n">
        <f aca="false">'Juill-aout-sept 2026'!E26</f>
        <v>0</v>
      </c>
      <c r="F28" s="57" t="n">
        <f aca="false">MIN(ROUNDDOWN(N($E28)*Paramètres!$C$16,0),Paramètres!$D$16)</f>
        <v>0</v>
      </c>
      <c r="G28" s="57" t="n">
        <f aca="false">MIN(ROUNDDOWN(N($E28)*Paramètres!$C$17,0),Paramètres!$D$17)</f>
        <v>0</v>
      </c>
      <c r="H28" s="57" t="n">
        <f aca="false">MIN(ROUNDDOWN(N($E28)*Paramètres!$C$18,0),Paramètres!$D$18)</f>
        <v>0</v>
      </c>
      <c r="I28" s="57" t="n">
        <f aca="false">N($E28)-(F28+G28+H28)</f>
        <v>0</v>
      </c>
      <c r="J28" s="58" t="n">
        <v>0</v>
      </c>
      <c r="K28" s="59" t="str">
        <f aca="false">IF(I28&lt;Paramètres!$C$11,"Cadre inférieur","Cadre supérieur")</f>
        <v>Cadre inférieur</v>
      </c>
      <c r="L28" s="57" t="n">
        <f aca="false">MIN(F28,MIN(N($E28)*Paramètres!$C$16,Paramètres!$D$16))+MIN(G28,MIN(N($E28)*Paramètres!$C$17,Paramètres!$D$17))+MIN(H28,MIN(N($E28)*Paramètres!$C$18,Paramètres!$D$18))</f>
        <v>0</v>
      </c>
      <c r="M28" s="57" t="n">
        <f aca="false">MIN(N($E28),Paramètres!$C$7)*Paramètres!$C$6</f>
        <v>0</v>
      </c>
      <c r="N28" s="57" t="n">
        <f aca="false">MIN(M28,I28*Paramètres!$C$8)</f>
        <v>0</v>
      </c>
      <c r="O28" s="57" t="n">
        <f aca="false">I28*IF(K28="Cadre supérieur",Paramètres!$C$10,Paramètres!$C$9)</f>
        <v>0</v>
      </c>
      <c r="P28" s="57" t="n">
        <f aca="false">MAX(0,ROUNDDOWN(N($E28)-L28-N28-O28,-2))</f>
        <v>0</v>
      </c>
      <c r="Q28" s="57" t="n">
        <f aca="false">SUMPRODUCT((P28&gt;Paramètres!$B$21:$B$27)*(P28-Paramètres!$B$21:$B$27)*Paramètres!$E$21:$E$27)</f>
        <v>0</v>
      </c>
      <c r="R28" s="57" t="n">
        <f aca="false">Q28*INDEX(Paramètres!$C$31:$C$38,MIN(MAX(INT(N(J28)),0),7)+1)</f>
        <v>0</v>
      </c>
      <c r="S28" s="60" t="n">
        <f aca="false">ROUND(Q28-R28,0)</f>
        <v>0</v>
      </c>
      <c r="T28" s="57" t="n">
        <f aca="false">ROUND(N($E28)*Paramètres!$C$13,0)</f>
        <v>0</v>
      </c>
      <c r="U28" s="57" t="n">
        <f aca="false">ROUND(MAX(0,N($E28)-(Q28-R28)-M28)*Paramètres!$C$12,0)</f>
        <v>0</v>
      </c>
      <c r="V28" s="60" t="n">
        <f aca="false">ROUND(N($E28)-M28-S28-U28,0)</f>
        <v>0</v>
      </c>
    </row>
    <row r="29" customFormat="false" ht="17.25" hidden="false" customHeight="true" outlineLevel="0" collapsed="false">
      <c r="B29" s="53" t="n">
        <v>22</v>
      </c>
      <c r="C29" s="54" t="s">
        <v>37</v>
      </c>
      <c r="D29" s="55" t="n">
        <v>46204</v>
      </c>
      <c r="E29" s="56" t="n">
        <f aca="false">'Juill-aout-sept 2026'!E27</f>
        <v>231913</v>
      </c>
      <c r="F29" s="57" t="n">
        <f aca="false">MIN(ROUNDDOWN(N($E29)*Paramètres!$C$16,0),Paramètres!$D$16)</f>
        <v>46382</v>
      </c>
      <c r="G29" s="57" t="n">
        <f aca="false">MIN(ROUNDDOWN(N($E29)*Paramètres!$C$17,0),Paramètres!$D$17)</f>
        <v>11595</v>
      </c>
      <c r="H29" s="57" t="n">
        <f aca="false">MIN(ROUNDDOWN(N($E29)*Paramètres!$C$18,0),Paramètres!$D$18)</f>
        <v>11595</v>
      </c>
      <c r="I29" s="57" t="n">
        <f aca="false">N($E29)-(F29+G29+H29)</f>
        <v>162341</v>
      </c>
      <c r="J29" s="58" t="n">
        <v>0</v>
      </c>
      <c r="K29" s="59" t="str">
        <f aca="false">IF(I29&lt;Paramètres!$C$11,"Cadre inférieur","Cadre supérieur")</f>
        <v>Cadre supérieur</v>
      </c>
      <c r="L29" s="57" t="n">
        <f aca="false">MIN(F29,MIN(N($E29)*Paramètres!$C$16,Paramètres!$D$16))+MIN(G29,MIN(N($E29)*Paramètres!$C$17,Paramètres!$D$17))+MIN(H29,MIN(N($E29)*Paramètres!$C$18,Paramètres!$D$18))</f>
        <v>69572</v>
      </c>
      <c r="M29" s="57" t="n">
        <f aca="false">MIN(N($E29),Paramètres!$C$7)*Paramètres!$C$6</f>
        <v>12755.215</v>
      </c>
      <c r="N29" s="57" t="n">
        <f aca="false">MIN(M29,I29*Paramètres!$C$8)</f>
        <v>12755.215</v>
      </c>
      <c r="O29" s="57" t="n">
        <f aca="false">I29*IF(K29="Cadre supérieur",Paramètres!$C$10,Paramètres!$C$9)</f>
        <v>32468.2</v>
      </c>
      <c r="P29" s="57" t="n">
        <f aca="false">MAX(0,ROUNDDOWN(N($E29)-L29-N29-O29,-2))</f>
        <v>117100</v>
      </c>
      <c r="Q29" s="57" t="n">
        <f aca="false">SUMPRODUCT((P29&gt;Paramètres!$B$21:$B$27)*(P29-Paramètres!$B$21:$B$27)*Paramètres!$E$21:$E$27)</f>
        <v>12414.7</v>
      </c>
      <c r="R29" s="57" t="n">
        <f aca="false">Q29*INDEX(Paramètres!$C$31:$C$38,MIN(MAX(INT(N(J29)),0),7)+1)</f>
        <v>0</v>
      </c>
      <c r="S29" s="60" t="n">
        <f aca="false">ROUND(Q29-R29,0)</f>
        <v>12415</v>
      </c>
      <c r="T29" s="57" t="n">
        <f aca="false">ROUND(N($E29)*Paramètres!$C$13,0)</f>
        <v>6957</v>
      </c>
      <c r="U29" s="57" t="n">
        <f aca="false">ROUND(MAX(0,N($E29)-(Q29-R29)-M29)*Paramètres!$C$12,0)</f>
        <v>2067</v>
      </c>
      <c r="V29" s="60" t="n">
        <f aca="false">ROUND(N($E29)-M29-S29-U29,0)</f>
        <v>204676</v>
      </c>
    </row>
    <row r="30" customFormat="false" ht="17.25" hidden="false" customHeight="true" outlineLevel="0" collapsed="false">
      <c r="B30" s="53" t="n">
        <v>23</v>
      </c>
      <c r="C30" s="54" t="s">
        <v>38</v>
      </c>
      <c r="D30" s="55" t="s">
        <v>39</v>
      </c>
      <c r="E30" s="56" t="n">
        <f aca="false">'Juill-aout-sept 2026'!E28</f>
        <v>0</v>
      </c>
      <c r="F30" s="57" t="n">
        <f aca="false">MIN(ROUNDDOWN(N($E30)*Paramètres!$C$16,0),Paramètres!$D$16)</f>
        <v>0</v>
      </c>
      <c r="G30" s="57" t="n">
        <f aca="false">MIN(ROUNDDOWN(N($E30)*Paramètres!$C$17,0),Paramètres!$D$17)</f>
        <v>0</v>
      </c>
      <c r="H30" s="57" t="n">
        <f aca="false">MIN(ROUNDDOWN(N($E30)*Paramètres!$C$18,0),Paramètres!$D$18)</f>
        <v>0</v>
      </c>
      <c r="I30" s="57" t="n">
        <f aca="false">N($E30)-(F30+G30+H30)</f>
        <v>0</v>
      </c>
      <c r="J30" s="58" t="n">
        <v>0</v>
      </c>
      <c r="K30" s="59" t="str">
        <f aca="false">IF(I30&lt;Paramètres!$C$11,"Cadre inférieur","Cadre supérieur")</f>
        <v>Cadre inférieur</v>
      </c>
      <c r="L30" s="57" t="n">
        <f aca="false">MIN(F30,MIN(N($E30)*Paramètres!$C$16,Paramètres!$D$16))+MIN(G30,MIN(N($E30)*Paramètres!$C$17,Paramètres!$D$17))+MIN(H30,MIN(N($E30)*Paramètres!$C$18,Paramètres!$D$18))</f>
        <v>0</v>
      </c>
      <c r="M30" s="57" t="n">
        <f aca="false">MIN(N($E30),Paramètres!$C$7)*Paramètres!$C$6</f>
        <v>0</v>
      </c>
      <c r="N30" s="57" t="n">
        <f aca="false">MIN(M30,I30*Paramètres!$C$8)</f>
        <v>0</v>
      </c>
      <c r="O30" s="57" t="n">
        <f aca="false">I30*IF(K30="Cadre supérieur",Paramètres!$C$10,Paramètres!$C$9)</f>
        <v>0</v>
      </c>
      <c r="P30" s="57" t="n">
        <f aca="false">MAX(0,ROUNDDOWN(N($E30)-L30-N30-O30,-2))</f>
        <v>0</v>
      </c>
      <c r="Q30" s="57" t="n">
        <f aca="false">SUMPRODUCT((P30&gt;Paramètres!$B$21:$B$27)*(P30-Paramètres!$B$21:$B$27)*Paramètres!$E$21:$E$27)</f>
        <v>0</v>
      </c>
      <c r="R30" s="57" t="n">
        <f aca="false">Q30*INDEX(Paramètres!$C$31:$C$38,MIN(MAX(INT(N(J30)),0),7)+1)</f>
        <v>0</v>
      </c>
      <c r="S30" s="60" t="n">
        <f aca="false">ROUND(Q30-R30,0)</f>
        <v>0</v>
      </c>
      <c r="T30" s="57" t="n">
        <f aca="false">ROUND(N($E30)*Paramètres!$C$13,0)</f>
        <v>0</v>
      </c>
      <c r="U30" s="57" t="n">
        <f aca="false">ROUND(MAX(0,N($E30)-(Q30-R30)-M30)*Paramètres!$C$12,0)</f>
        <v>0</v>
      </c>
      <c r="V30" s="60" t="n">
        <f aca="false">ROUND(N($E30)-M30-S30-U30,0)</f>
        <v>0</v>
      </c>
    </row>
    <row r="31" customFormat="false" ht="17.25" hidden="false" customHeight="true" outlineLevel="0" collapsed="false">
      <c r="B31" s="53" t="n">
        <v>24</v>
      </c>
      <c r="C31" s="54" t="s">
        <v>40</v>
      </c>
      <c r="D31" s="55" t="n">
        <v>45778</v>
      </c>
      <c r="E31" s="56" t="n">
        <f aca="false">'Juill-aout-sept 2026'!E29</f>
        <v>165340</v>
      </c>
      <c r="F31" s="57" t="n">
        <f aca="false">MIN(ROUNDDOWN(N($E31)*Paramètres!$C$16,0),Paramètres!$D$16)</f>
        <v>33068</v>
      </c>
      <c r="G31" s="57" t="n">
        <f aca="false">MIN(ROUNDDOWN(N($E31)*Paramètres!$C$17,0),Paramètres!$D$17)</f>
        <v>8267</v>
      </c>
      <c r="H31" s="57" t="n">
        <f aca="false">MIN(ROUNDDOWN(N($E31)*Paramètres!$C$18,0),Paramètres!$D$18)</f>
        <v>8267</v>
      </c>
      <c r="I31" s="57" t="n">
        <f aca="false">N($E31)-(F31+G31+H31)</f>
        <v>115738</v>
      </c>
      <c r="J31" s="58" t="n">
        <v>0</v>
      </c>
      <c r="K31" s="59" t="str">
        <f aca="false">IF(I31&lt;Paramètres!$C$11,"Cadre inférieur","Cadre supérieur")</f>
        <v>Cadre inférieur</v>
      </c>
      <c r="L31" s="57" t="n">
        <f aca="false">MIN(F31,MIN(N($E31)*Paramètres!$C$16,Paramètres!$D$16))+MIN(G31,MIN(N($E31)*Paramètres!$C$17,Paramètres!$D$17))+MIN(H31,MIN(N($E31)*Paramètres!$C$18,Paramètres!$D$18))</f>
        <v>49602</v>
      </c>
      <c r="M31" s="57" t="n">
        <f aca="false">MIN(N($E31),Paramètres!$C$7)*Paramètres!$C$6</f>
        <v>9093.7</v>
      </c>
      <c r="N31" s="57" t="n">
        <f aca="false">MIN(M31,I31*Paramètres!$C$8)</f>
        <v>9093.7</v>
      </c>
      <c r="O31" s="57" t="n">
        <f aca="false">I31*IF(K31="Cadre supérieur",Paramètres!$C$10,Paramètres!$C$9)</f>
        <v>28934.5</v>
      </c>
      <c r="P31" s="57" t="n">
        <f aca="false">MAX(0,ROUNDDOWN(N($E31)-L31-N31-O31,-2))</f>
        <v>77700</v>
      </c>
      <c r="Q31" s="57" t="n">
        <f aca="false">SUMPRODUCT((P31&gt;Paramètres!$B$21:$B$27)*(P31-Paramètres!$B$21:$B$27)*Paramètres!$E$21:$E$27)</f>
        <v>6270.3</v>
      </c>
      <c r="R31" s="57" t="n">
        <f aca="false">Q31*INDEX(Paramètres!$C$31:$C$38,MIN(MAX(INT(N(J31)),0),7)+1)</f>
        <v>0</v>
      </c>
      <c r="S31" s="60" t="n">
        <f aca="false">ROUND(Q31-R31,0)</f>
        <v>6270</v>
      </c>
      <c r="T31" s="57" t="n">
        <f aca="false">ROUND(N($E31)*Paramètres!$C$13,0)</f>
        <v>4960</v>
      </c>
      <c r="U31" s="57" t="n">
        <f aca="false">ROUND(MAX(0,N($E31)-(Q31-R31)-M31)*Paramètres!$C$12,0)</f>
        <v>1500</v>
      </c>
      <c r="V31" s="60" t="n">
        <f aca="false">ROUND(N($E31)-M31-S31-U31,0)</f>
        <v>148476</v>
      </c>
    </row>
    <row r="32" customFormat="false" ht="17.25" hidden="false" customHeight="true" outlineLevel="0" collapsed="false">
      <c r="B32" s="53" t="n">
        <v>25</v>
      </c>
      <c r="C32" s="54" t="s">
        <v>41</v>
      </c>
      <c r="D32" s="55" t="n">
        <v>46183</v>
      </c>
      <c r="E32" s="56" t="n">
        <f aca="false">'Juill-aout-sept 2026'!E30</f>
        <v>80000</v>
      </c>
      <c r="F32" s="57" t="n">
        <f aca="false">MIN(ROUNDDOWN(N($E32)*Paramètres!$C$16,0),Paramètres!$D$16)</f>
        <v>16000</v>
      </c>
      <c r="G32" s="57" t="n">
        <f aca="false">MIN(ROUNDDOWN(N($E32)*Paramètres!$C$17,0),Paramètres!$D$17)</f>
        <v>4000</v>
      </c>
      <c r="H32" s="57" t="n">
        <f aca="false">MIN(ROUNDDOWN(N($E32)*Paramètres!$C$18,0),Paramètres!$D$18)</f>
        <v>4000</v>
      </c>
      <c r="I32" s="57" t="n">
        <f aca="false">N($E32)-(F32+G32+H32)</f>
        <v>56000</v>
      </c>
      <c r="J32" s="58" t="n">
        <v>0</v>
      </c>
      <c r="K32" s="59" t="str">
        <f aca="false">IF(I32&lt;Paramètres!$C$11,"Cadre inférieur","Cadre supérieur")</f>
        <v>Cadre inférieur</v>
      </c>
      <c r="L32" s="57" t="n">
        <f aca="false">MIN(F32,MIN(N($E32)*Paramètres!$C$16,Paramètres!$D$16))+MIN(G32,MIN(N($E32)*Paramètres!$C$17,Paramètres!$D$17))+MIN(H32,MIN(N($E32)*Paramètres!$C$18,Paramètres!$D$18))</f>
        <v>24000</v>
      </c>
      <c r="M32" s="57" t="n">
        <f aca="false">MIN(N($E32),Paramètres!$C$7)*Paramètres!$C$6</f>
        <v>4400</v>
      </c>
      <c r="N32" s="57" t="n">
        <f aca="false">MIN(M32,I32*Paramètres!$C$8)</f>
        <v>4400</v>
      </c>
      <c r="O32" s="57" t="n">
        <f aca="false">I32*IF(K32="Cadre supérieur",Paramètres!$C$10,Paramètres!$C$9)</f>
        <v>14000</v>
      </c>
      <c r="P32" s="57" t="n">
        <f aca="false">MAX(0,ROUNDDOWN(N($E32)-L32-N32-O32,-2))</f>
        <v>37600</v>
      </c>
      <c r="Q32" s="57" t="n">
        <f aca="false">SUMPRODUCT((P32&gt;Paramètres!$B$21:$B$27)*(P32-Paramètres!$B$21:$B$27)*Paramètres!$E$21:$E$27)</f>
        <v>919.6</v>
      </c>
      <c r="R32" s="57" t="n">
        <f aca="false">Q32*INDEX(Paramètres!$C$31:$C$38,MIN(MAX(INT(N(J32)),0),7)+1)</f>
        <v>0</v>
      </c>
      <c r="S32" s="60" t="n">
        <f aca="false">ROUND(Q32-R32,0)</f>
        <v>920</v>
      </c>
      <c r="T32" s="57" t="n">
        <f aca="false">ROUND(N($E32)*Paramètres!$C$13,0)</f>
        <v>2400</v>
      </c>
      <c r="U32" s="57" t="n">
        <f aca="false">ROUND(MAX(0,N($E32)-(Q32-R32)-M32)*Paramètres!$C$12,0)</f>
        <v>747</v>
      </c>
      <c r="V32" s="60" t="n">
        <f aca="false">ROUND(N($E32)-M32-S32-U32,0)</f>
        <v>73933</v>
      </c>
    </row>
    <row r="33" customFormat="false" ht="17.25" hidden="false" customHeight="true" outlineLevel="0" collapsed="false">
      <c r="B33" s="53"/>
      <c r="C33" s="54" t="s">
        <v>13</v>
      </c>
      <c r="D33" s="55"/>
      <c r="E33" s="56" t="n">
        <f aca="false">'Juill-aout-sept 2026'!E31</f>
        <v>346515</v>
      </c>
      <c r="F33" s="57" t="n">
        <f aca="false">MIN(ROUNDDOWN(N($E33)*Paramètres!$C$16,0),Paramètres!$D$16)</f>
        <v>69303</v>
      </c>
      <c r="G33" s="57" t="n">
        <f aca="false">MIN(ROUNDDOWN(N($E33)*Paramètres!$C$17,0),Paramètres!$D$17)</f>
        <v>17325</v>
      </c>
      <c r="H33" s="57" t="n">
        <f aca="false">MIN(ROUNDDOWN(N($E33)*Paramètres!$C$18,0),Paramètres!$D$18)</f>
        <v>17325</v>
      </c>
      <c r="I33" s="57" t="n">
        <f aca="false">N($E33)-(F33+G33+H33)</f>
        <v>242562</v>
      </c>
      <c r="J33" s="58" t="n">
        <v>0</v>
      </c>
      <c r="K33" s="59" t="str">
        <f aca="false">IF(I33&lt;Paramètres!$C$11,"Cadre inférieur","Cadre supérieur")</f>
        <v>Cadre supérieur</v>
      </c>
      <c r="L33" s="57" t="n">
        <f aca="false">MIN(F33,MIN(N($E33)*Paramètres!$C$16,Paramètres!$D$16))+MIN(G33,MIN(N($E33)*Paramètres!$C$17,Paramètres!$D$17))+MIN(H33,MIN(N($E33)*Paramètres!$C$18,Paramètres!$D$18))</f>
        <v>103953</v>
      </c>
      <c r="M33" s="57" t="n">
        <f aca="false">MIN(N($E33),Paramètres!$C$7)*Paramètres!$C$6</f>
        <v>19058.325</v>
      </c>
      <c r="N33" s="57" t="n">
        <f aca="false">MIN(M33,I33*Paramètres!$C$8)</f>
        <v>19058.325</v>
      </c>
      <c r="O33" s="57" t="n">
        <f aca="false">I33*IF(K33="Cadre supérieur",Paramètres!$C$10,Paramètres!$C$9)</f>
        <v>48512.4</v>
      </c>
      <c r="P33" s="57" t="n">
        <f aca="false">MAX(0,ROUNDDOWN(N($E33)-L33-N33-O33,-2))</f>
        <v>174900</v>
      </c>
      <c r="Q33" s="57" t="n">
        <f aca="false">SUMPRODUCT((P33&gt;Paramètres!$B$21:$B$27)*(P33-Paramètres!$B$21:$B$27)*Paramètres!$E$21:$E$27)</f>
        <v>23133.3</v>
      </c>
      <c r="R33" s="57" t="n">
        <f aca="false">Q33*INDEX(Paramètres!$C$31:$C$38,MIN(MAX(INT(N(J33)),0),7)+1)</f>
        <v>0</v>
      </c>
      <c r="S33" s="60" t="n">
        <f aca="false">ROUND(Q33-R33,0)</f>
        <v>23133</v>
      </c>
      <c r="T33" s="57" t="n">
        <f aca="false">ROUND(N($E33)*Paramètres!$C$13,0)</f>
        <v>10395</v>
      </c>
      <c r="U33" s="57" t="n">
        <f aca="false">ROUND(MAX(0,N($E33)-(Q33-R33)-M33)*Paramètres!$C$12,0)</f>
        <v>3043</v>
      </c>
      <c r="V33" s="60" t="n">
        <f aca="false">ROUND(N($E33)-M33-S33-U33,0)</f>
        <v>301281</v>
      </c>
    </row>
    <row r="34" customFormat="false" ht="17.25" hidden="false" customHeight="true" outlineLevel="0" collapsed="false">
      <c r="B34" s="53" t="n">
        <v>26</v>
      </c>
      <c r="C34" s="54" t="s">
        <v>42</v>
      </c>
      <c r="D34" s="55" t="n">
        <v>45965</v>
      </c>
      <c r="E34" s="56" t="n">
        <f aca="false">'Juill-aout-sept 2026'!E32</f>
        <v>0</v>
      </c>
      <c r="F34" s="57" t="n">
        <f aca="false">MIN(ROUNDDOWN(N($E34)*Paramètres!$C$16,0),Paramètres!$D$16)</f>
        <v>0</v>
      </c>
      <c r="G34" s="57" t="n">
        <f aca="false">MIN(ROUNDDOWN(N($E34)*Paramètres!$C$17,0),Paramètres!$D$17)</f>
        <v>0</v>
      </c>
      <c r="H34" s="57" t="n">
        <f aca="false">MIN(ROUNDDOWN(N($E34)*Paramètres!$C$18,0),Paramètres!$D$18)</f>
        <v>0</v>
      </c>
      <c r="I34" s="57" t="n">
        <f aca="false">N($E34)-(F34+G34+H34)</f>
        <v>0</v>
      </c>
      <c r="J34" s="58" t="n">
        <v>0</v>
      </c>
      <c r="K34" s="59" t="str">
        <f aca="false">IF(I34&lt;Paramètres!$C$11,"Cadre inférieur","Cadre supérieur")</f>
        <v>Cadre inférieur</v>
      </c>
      <c r="L34" s="57" t="n">
        <f aca="false">MIN(F34,MIN(N($E34)*Paramètres!$C$16,Paramètres!$D$16))+MIN(G34,MIN(N($E34)*Paramètres!$C$17,Paramètres!$D$17))+MIN(H34,MIN(N($E34)*Paramètres!$C$18,Paramètres!$D$18))</f>
        <v>0</v>
      </c>
      <c r="M34" s="57" t="n">
        <f aca="false">MIN(N($E34),Paramètres!$C$7)*Paramètres!$C$6</f>
        <v>0</v>
      </c>
      <c r="N34" s="57" t="n">
        <f aca="false">MIN(M34,I34*Paramètres!$C$8)</f>
        <v>0</v>
      </c>
      <c r="O34" s="57" t="n">
        <f aca="false">I34*IF(K34="Cadre supérieur",Paramètres!$C$10,Paramètres!$C$9)</f>
        <v>0</v>
      </c>
      <c r="P34" s="57" t="n">
        <f aca="false">MAX(0,ROUNDDOWN(N($E34)-L34-N34-O34,-2))</f>
        <v>0</v>
      </c>
      <c r="Q34" s="57" t="n">
        <f aca="false">SUMPRODUCT((P34&gt;Paramètres!$B$21:$B$27)*(P34-Paramètres!$B$21:$B$27)*Paramètres!$E$21:$E$27)</f>
        <v>0</v>
      </c>
      <c r="R34" s="57" t="n">
        <f aca="false">Q34*INDEX(Paramètres!$C$31:$C$38,MIN(MAX(INT(N(J34)),0),7)+1)</f>
        <v>0</v>
      </c>
      <c r="S34" s="60" t="n">
        <f aca="false">ROUND(Q34-R34,0)</f>
        <v>0</v>
      </c>
      <c r="T34" s="57" t="n">
        <f aca="false">ROUND(N($E34)*Paramètres!$C$13,0)</f>
        <v>0</v>
      </c>
      <c r="U34" s="57" t="n">
        <f aca="false">ROUND(MAX(0,N($E34)-(Q34-R34)-M34)*Paramètres!$C$12,0)</f>
        <v>0</v>
      </c>
      <c r="V34" s="60" t="n">
        <f aca="false">ROUND(N($E34)-M34-S34-U34,0)</f>
        <v>0</v>
      </c>
    </row>
    <row r="35" customFormat="false" ht="17.25" hidden="false" customHeight="true" outlineLevel="0" collapsed="false">
      <c r="B35" s="53" t="n">
        <v>27</v>
      </c>
      <c r="C35" s="54" t="s">
        <v>14</v>
      </c>
      <c r="D35" s="55" t="n">
        <v>46092</v>
      </c>
      <c r="E35" s="56" t="n">
        <f aca="false">'Juill-aout-sept 2026'!E33</f>
        <v>165340</v>
      </c>
      <c r="F35" s="57" t="n">
        <f aca="false">MIN(ROUNDDOWN(N($E35)*Paramètres!$C$16,0),Paramètres!$D$16)</f>
        <v>33068</v>
      </c>
      <c r="G35" s="57" t="n">
        <f aca="false">MIN(ROUNDDOWN(N($E35)*Paramètres!$C$17,0),Paramètres!$D$17)</f>
        <v>8267</v>
      </c>
      <c r="H35" s="57" t="n">
        <f aca="false">MIN(ROUNDDOWN(N($E35)*Paramètres!$C$18,0),Paramètres!$D$18)</f>
        <v>8267</v>
      </c>
      <c r="I35" s="57" t="n">
        <f aca="false">N($E35)-(F35+G35+H35)</f>
        <v>115738</v>
      </c>
      <c r="J35" s="58" t="n">
        <v>0</v>
      </c>
      <c r="K35" s="59" t="str">
        <f aca="false">IF(I35&lt;Paramètres!$C$11,"Cadre inférieur","Cadre supérieur")</f>
        <v>Cadre inférieur</v>
      </c>
      <c r="L35" s="57" t="n">
        <f aca="false">MIN(F35,MIN(N($E35)*Paramètres!$C$16,Paramètres!$D$16))+MIN(G35,MIN(N($E35)*Paramètres!$C$17,Paramètres!$D$17))+MIN(H35,MIN(N($E35)*Paramètres!$C$18,Paramètres!$D$18))</f>
        <v>49602</v>
      </c>
      <c r="M35" s="57" t="n">
        <f aca="false">MIN(N($E35),Paramètres!$C$7)*Paramètres!$C$6</f>
        <v>9093.7</v>
      </c>
      <c r="N35" s="57" t="n">
        <f aca="false">MIN(M35,I35*Paramètres!$C$8)</f>
        <v>9093.7</v>
      </c>
      <c r="O35" s="57" t="n">
        <f aca="false">I35*IF(K35="Cadre supérieur",Paramètres!$C$10,Paramètres!$C$9)</f>
        <v>28934.5</v>
      </c>
      <c r="P35" s="57" t="n">
        <f aca="false">MAX(0,ROUNDDOWN(N($E35)-L35-N35-O35,-2))</f>
        <v>77700</v>
      </c>
      <c r="Q35" s="57" t="n">
        <f aca="false">SUMPRODUCT((P35&gt;Paramètres!$B$21:$B$27)*(P35-Paramètres!$B$21:$B$27)*Paramètres!$E$21:$E$27)</f>
        <v>6270.3</v>
      </c>
      <c r="R35" s="57" t="n">
        <f aca="false">Q35*INDEX(Paramètres!$C$31:$C$38,MIN(MAX(INT(N(J35)),0),7)+1)</f>
        <v>0</v>
      </c>
      <c r="S35" s="60" t="n">
        <f aca="false">ROUND(Q35-R35,0)</f>
        <v>6270</v>
      </c>
      <c r="T35" s="57" t="n">
        <f aca="false">ROUND(N($E35)*Paramètres!$C$13,0)</f>
        <v>4960</v>
      </c>
      <c r="U35" s="57" t="n">
        <f aca="false">ROUND(MAX(0,N($E35)-(Q35-R35)-M35)*Paramètres!$C$12,0)</f>
        <v>1500</v>
      </c>
      <c r="V35" s="60" t="n">
        <f aca="false">ROUND(N($E35)-M35-S35-U35,0)</f>
        <v>148476</v>
      </c>
    </row>
    <row r="36" customFormat="false" ht="17.25" hidden="false" customHeight="true" outlineLevel="0" collapsed="false">
      <c r="B36" s="53"/>
      <c r="C36" s="54" t="s">
        <v>43</v>
      </c>
      <c r="D36" s="55"/>
      <c r="E36" s="56" t="n">
        <f aca="false">'Juill-aout-sept 2026'!E34</f>
        <v>195448</v>
      </c>
      <c r="F36" s="57" t="n">
        <f aca="false">MIN(ROUNDDOWN(N($E36)*Paramètres!$C$16,0),Paramètres!$D$16)</f>
        <v>39089</v>
      </c>
      <c r="G36" s="57" t="n">
        <f aca="false">MIN(ROUNDDOWN(N($E36)*Paramètres!$C$17,0),Paramètres!$D$17)</f>
        <v>9772</v>
      </c>
      <c r="H36" s="57" t="n">
        <f aca="false">MIN(ROUNDDOWN(N($E36)*Paramètres!$C$18,0),Paramètres!$D$18)</f>
        <v>9772</v>
      </c>
      <c r="I36" s="57" t="n">
        <f aca="false">N($E36)-(F36+G36+H36)</f>
        <v>136815</v>
      </c>
      <c r="J36" s="58" t="n">
        <v>0</v>
      </c>
      <c r="K36" s="59" t="str">
        <f aca="false">IF(I36&lt;Paramètres!$C$11,"Cadre inférieur","Cadre supérieur")</f>
        <v>Cadre inférieur</v>
      </c>
      <c r="L36" s="57" t="n">
        <f aca="false">MIN(F36,MIN(N($E36)*Paramètres!$C$16,Paramètres!$D$16))+MIN(G36,MIN(N($E36)*Paramètres!$C$17,Paramètres!$D$17))+MIN(H36,MIN(N($E36)*Paramètres!$C$18,Paramètres!$D$18))</f>
        <v>58633</v>
      </c>
      <c r="M36" s="57" t="n">
        <f aca="false">MIN(N($E36),Paramètres!$C$7)*Paramètres!$C$6</f>
        <v>10749.64</v>
      </c>
      <c r="N36" s="57" t="n">
        <f aca="false">MIN(M36,I36*Paramètres!$C$8)</f>
        <v>10749.64</v>
      </c>
      <c r="O36" s="57" t="n">
        <f aca="false">I36*IF(K36="Cadre supérieur",Paramètres!$C$10,Paramètres!$C$9)</f>
        <v>34203.75</v>
      </c>
      <c r="P36" s="57" t="n">
        <f aca="false">MAX(0,ROUNDDOWN(N($E36)-L36-N36-O36,-2))</f>
        <v>91800</v>
      </c>
      <c r="Q36" s="57" t="n">
        <f aca="false">SUMPRODUCT((P36&gt;Paramètres!$B$21:$B$27)*(P36-Paramètres!$B$21:$B$27)*Paramètres!$E$21:$E$27)</f>
        <v>8442.6</v>
      </c>
      <c r="R36" s="57" t="n">
        <f aca="false">Q36*INDEX(Paramètres!$C$31:$C$38,MIN(MAX(INT(N(J36)),0),7)+1)</f>
        <v>0</v>
      </c>
      <c r="S36" s="60" t="n">
        <f aca="false">ROUND(Q36-R36,0)</f>
        <v>8443</v>
      </c>
      <c r="T36" s="57" t="n">
        <f aca="false">ROUND(N($E36)*Paramètres!$C$13,0)</f>
        <v>5863</v>
      </c>
      <c r="U36" s="57" t="n">
        <f aca="false">ROUND(MAX(0,N($E36)-(Q36-R36)-M36)*Paramètres!$C$12,0)</f>
        <v>1763</v>
      </c>
      <c r="V36" s="60" t="n">
        <f aca="false">ROUND(N($E36)-M36-S36-U36,0)</f>
        <v>174492</v>
      </c>
    </row>
    <row r="37" customFormat="false" ht="17.25" hidden="false" customHeight="true" outlineLevel="0" collapsed="false">
      <c r="B37" s="53" t="n">
        <v>28</v>
      </c>
      <c r="C37" s="54" t="s">
        <v>44</v>
      </c>
      <c r="D37" s="55" t="n">
        <v>46275</v>
      </c>
      <c r="E37" s="56" t="n">
        <f aca="false">'Juill-aout-sept 2026'!E35</f>
        <v>0</v>
      </c>
      <c r="F37" s="57" t="n">
        <f aca="false">MIN(ROUNDDOWN(N($E37)*Paramètres!$C$16,0),Paramètres!$D$16)</f>
        <v>0</v>
      </c>
      <c r="G37" s="57" t="n">
        <f aca="false">MIN(ROUNDDOWN(N($E37)*Paramètres!$C$17,0),Paramètres!$D$17)</f>
        <v>0</v>
      </c>
      <c r="H37" s="57" t="n">
        <f aca="false">MIN(ROUNDDOWN(N($E37)*Paramètres!$C$18,0),Paramètres!$D$18)</f>
        <v>0</v>
      </c>
      <c r="I37" s="57" t="n">
        <f aca="false">N($E37)-(F37+G37+H37)</f>
        <v>0</v>
      </c>
      <c r="J37" s="58" t="n">
        <v>0</v>
      </c>
      <c r="K37" s="59" t="str">
        <f aca="false">IF(I37&lt;Paramètres!$C$11,"Cadre inférieur","Cadre supérieur")</f>
        <v>Cadre inférieur</v>
      </c>
      <c r="L37" s="57" t="n">
        <f aca="false">MIN(F37,MIN(N($E37)*Paramètres!$C$16,Paramètres!$D$16))+MIN(G37,MIN(N($E37)*Paramètres!$C$17,Paramètres!$D$17))+MIN(H37,MIN(N($E37)*Paramètres!$C$18,Paramètres!$D$18))</f>
        <v>0</v>
      </c>
      <c r="M37" s="57" t="n">
        <f aca="false">MIN(N($E37),Paramètres!$C$7)*Paramètres!$C$6</f>
        <v>0</v>
      </c>
      <c r="N37" s="57" t="n">
        <f aca="false">MIN(M37,I37*Paramètres!$C$8)</f>
        <v>0</v>
      </c>
      <c r="O37" s="57" t="n">
        <f aca="false">I37*IF(K37="Cadre supérieur",Paramètres!$C$10,Paramètres!$C$9)</f>
        <v>0</v>
      </c>
      <c r="P37" s="57" t="n">
        <f aca="false">MAX(0,ROUNDDOWN(N($E37)-L37-N37-O37,-2))</f>
        <v>0</v>
      </c>
      <c r="Q37" s="57" t="n">
        <f aca="false">SUMPRODUCT((P37&gt;Paramètres!$B$21:$B$27)*(P37-Paramètres!$B$21:$B$27)*Paramètres!$E$21:$E$27)</f>
        <v>0</v>
      </c>
      <c r="R37" s="57" t="n">
        <f aca="false">Q37*INDEX(Paramètres!$C$31:$C$38,MIN(MAX(INT(N(J37)),0),7)+1)</f>
        <v>0</v>
      </c>
      <c r="S37" s="60" t="n">
        <f aca="false">ROUND(Q37-R37,0)</f>
        <v>0</v>
      </c>
      <c r="T37" s="57" t="n">
        <f aca="false">ROUND(N($E37)*Paramètres!$C$13,0)</f>
        <v>0</v>
      </c>
      <c r="U37" s="57" t="n">
        <f aca="false">ROUND(MAX(0,N($E37)-(Q37-R37)-M37)*Paramètres!$C$12,0)</f>
        <v>0</v>
      </c>
      <c r="V37" s="60" t="n">
        <f aca="false">ROUND(N($E37)-M37-S37-U37,0)</f>
        <v>0</v>
      </c>
    </row>
    <row r="38" customFormat="false" ht="17.25" hidden="false" customHeight="true" outlineLevel="0" collapsed="false">
      <c r="B38" s="53" t="n">
        <v>29</v>
      </c>
      <c r="C38" s="54" t="s">
        <v>45</v>
      </c>
      <c r="D38" s="55" t="n">
        <v>46216</v>
      </c>
      <c r="E38" s="56" t="n">
        <f aca="false">'Juill-aout-sept 2026'!E36</f>
        <v>135983</v>
      </c>
      <c r="F38" s="57" t="n">
        <f aca="false">MIN(ROUNDDOWN(N($E38)*Paramètres!$C$16,0),Paramètres!$D$16)</f>
        <v>27196</v>
      </c>
      <c r="G38" s="57" t="n">
        <f aca="false">MIN(ROUNDDOWN(N($E38)*Paramètres!$C$17,0),Paramètres!$D$17)</f>
        <v>6799</v>
      </c>
      <c r="H38" s="57" t="n">
        <f aca="false">MIN(ROUNDDOWN(N($E38)*Paramètres!$C$18,0),Paramètres!$D$18)</f>
        <v>6799</v>
      </c>
      <c r="I38" s="57" t="n">
        <f aca="false">N($E38)-(F38+G38+H38)</f>
        <v>95189</v>
      </c>
      <c r="J38" s="58" t="n">
        <v>0</v>
      </c>
      <c r="K38" s="59" t="str">
        <f aca="false">IF(I38&lt;Paramètres!$C$11,"Cadre inférieur","Cadre supérieur")</f>
        <v>Cadre inférieur</v>
      </c>
      <c r="L38" s="57" t="n">
        <f aca="false">MIN(F38,MIN(N($E38)*Paramètres!$C$16,Paramètres!$D$16))+MIN(G38,MIN(N($E38)*Paramètres!$C$17,Paramètres!$D$17))+MIN(H38,MIN(N($E38)*Paramètres!$C$18,Paramètres!$D$18))</f>
        <v>40794</v>
      </c>
      <c r="M38" s="57" t="n">
        <f aca="false">MIN(N($E38),Paramètres!$C$7)*Paramètres!$C$6</f>
        <v>7479.065</v>
      </c>
      <c r="N38" s="57" t="n">
        <f aca="false">MIN(M38,I38*Paramètres!$C$8)</f>
        <v>7479.065</v>
      </c>
      <c r="O38" s="57" t="n">
        <f aca="false">I38*IF(K38="Cadre supérieur",Paramètres!$C$10,Paramètres!$C$9)</f>
        <v>23797.25</v>
      </c>
      <c r="P38" s="57" t="n">
        <f aca="false">MAX(0,ROUNDDOWN(N($E38)-L38-N38-O38,-2))</f>
        <v>63900</v>
      </c>
      <c r="Q38" s="57" t="n">
        <f aca="false">SUMPRODUCT((P38&gt;Paramètres!$B$21:$B$27)*(P38-Paramètres!$B$21:$B$27)*Paramètres!$E$21:$E$27)</f>
        <v>4352.1</v>
      </c>
      <c r="R38" s="57" t="n">
        <f aca="false">Q38*INDEX(Paramètres!$C$31:$C$38,MIN(MAX(INT(N(J38)),0),7)+1)</f>
        <v>0</v>
      </c>
      <c r="S38" s="60" t="n">
        <f aca="false">ROUND(Q38-R38,0)</f>
        <v>4352</v>
      </c>
      <c r="T38" s="57" t="n">
        <f aca="false">ROUND(N($E38)*Paramètres!$C$13,0)</f>
        <v>4079</v>
      </c>
      <c r="U38" s="57" t="n">
        <f aca="false">ROUND(MAX(0,N($E38)-(Q38-R38)-M38)*Paramètres!$C$12,0)</f>
        <v>1242</v>
      </c>
      <c r="V38" s="60" t="n">
        <f aca="false">ROUND(N($E38)-M38-S38-U38,0)</f>
        <v>122910</v>
      </c>
    </row>
    <row r="39" customFormat="false" ht="17.25" hidden="false" customHeight="true" outlineLevel="0" collapsed="false">
      <c r="B39" s="53" t="n">
        <v>30</v>
      </c>
      <c r="C39" s="54" t="s">
        <v>11</v>
      </c>
      <c r="D39" s="55" t="n">
        <v>45778</v>
      </c>
      <c r="E39" s="56" t="n">
        <f aca="false">'Juill-aout-sept 2026'!E37</f>
        <v>346515</v>
      </c>
      <c r="F39" s="57" t="n">
        <f aca="false">MIN(ROUNDDOWN(N($E39)*Paramètres!$C$16,0),Paramètres!$D$16)</f>
        <v>69303</v>
      </c>
      <c r="G39" s="57" t="n">
        <f aca="false">MIN(ROUNDDOWN(N($E39)*Paramètres!$C$17,0),Paramètres!$D$17)</f>
        <v>17325</v>
      </c>
      <c r="H39" s="57" t="n">
        <f aca="false">MIN(ROUNDDOWN(N($E39)*Paramètres!$C$18,0),Paramètres!$D$18)</f>
        <v>17325</v>
      </c>
      <c r="I39" s="57" t="n">
        <f aca="false">N($E39)-(F39+G39+H39)</f>
        <v>242562</v>
      </c>
      <c r="J39" s="58" t="n">
        <v>0</v>
      </c>
      <c r="K39" s="59" t="str">
        <f aca="false">IF(I39&lt;Paramètres!$C$11,"Cadre inférieur","Cadre supérieur")</f>
        <v>Cadre supérieur</v>
      </c>
      <c r="L39" s="57" t="n">
        <f aca="false">MIN(F39,MIN(N($E39)*Paramètres!$C$16,Paramètres!$D$16))+MIN(G39,MIN(N($E39)*Paramètres!$C$17,Paramètres!$D$17))+MIN(H39,MIN(N($E39)*Paramètres!$C$18,Paramètres!$D$18))</f>
        <v>103953</v>
      </c>
      <c r="M39" s="57" t="n">
        <f aca="false">MIN(N($E39),Paramètres!$C$7)*Paramètres!$C$6</f>
        <v>19058.325</v>
      </c>
      <c r="N39" s="57" t="n">
        <f aca="false">MIN(M39,I39*Paramètres!$C$8)</f>
        <v>19058.325</v>
      </c>
      <c r="O39" s="57" t="n">
        <f aca="false">I39*IF(K39="Cadre supérieur",Paramètres!$C$10,Paramètres!$C$9)</f>
        <v>48512.4</v>
      </c>
      <c r="P39" s="57" t="n">
        <f aca="false">MAX(0,ROUNDDOWN(N($E39)-L39-N39-O39,-2))</f>
        <v>174900</v>
      </c>
      <c r="Q39" s="57" t="n">
        <f aca="false">SUMPRODUCT((P39&gt;Paramètres!$B$21:$B$27)*(P39-Paramètres!$B$21:$B$27)*Paramètres!$E$21:$E$27)</f>
        <v>23133.3</v>
      </c>
      <c r="R39" s="57" t="n">
        <f aca="false">Q39*INDEX(Paramètres!$C$31:$C$38,MIN(MAX(INT(N(J39)),0),7)+1)</f>
        <v>0</v>
      </c>
      <c r="S39" s="60" t="n">
        <f aca="false">ROUND(Q39-R39,0)</f>
        <v>23133</v>
      </c>
      <c r="T39" s="57" t="n">
        <f aca="false">ROUND(N($E39)*Paramètres!$C$13,0)</f>
        <v>10395</v>
      </c>
      <c r="U39" s="57" t="n">
        <f aca="false">ROUND(MAX(0,N($E39)-(Q39-R39)-M39)*Paramètres!$C$12,0)</f>
        <v>3043</v>
      </c>
      <c r="V39" s="60" t="n">
        <f aca="false">ROUND(N($E39)-M39-S39-U39,0)</f>
        <v>301281</v>
      </c>
    </row>
    <row r="40" customFormat="false" ht="17.25" hidden="false" customHeight="true" outlineLevel="0" collapsed="false">
      <c r="B40" s="53" t="n">
        <v>31</v>
      </c>
      <c r="C40" s="54" t="s">
        <v>46</v>
      </c>
      <c r="D40" s="55" t="n">
        <v>45962</v>
      </c>
      <c r="E40" s="56" t="n">
        <f aca="false">'Juill-aout-sept 2026'!E38</f>
        <v>213563</v>
      </c>
      <c r="F40" s="57" t="n">
        <f aca="false">MIN(ROUNDDOWN(N($E40)*Paramètres!$C$16,0),Paramètres!$D$16)</f>
        <v>42712</v>
      </c>
      <c r="G40" s="57" t="n">
        <f aca="false">MIN(ROUNDDOWN(N($E40)*Paramètres!$C$17,0),Paramètres!$D$17)</f>
        <v>10678</v>
      </c>
      <c r="H40" s="57" t="n">
        <f aca="false">MIN(ROUNDDOWN(N($E40)*Paramètres!$C$18,0),Paramètres!$D$18)</f>
        <v>10678</v>
      </c>
      <c r="I40" s="57" t="n">
        <f aca="false">N($E40)-(F40+G40+H40)</f>
        <v>149495</v>
      </c>
      <c r="J40" s="58" t="n">
        <v>0</v>
      </c>
      <c r="K40" s="59" t="str">
        <f aca="false">IF(I40&lt;Paramètres!$C$11,"Cadre inférieur","Cadre supérieur")</f>
        <v>Cadre inférieur</v>
      </c>
      <c r="L40" s="57" t="n">
        <f aca="false">MIN(F40,MIN(N($E40)*Paramètres!$C$16,Paramètres!$D$16))+MIN(G40,MIN(N($E40)*Paramètres!$C$17,Paramètres!$D$17))+MIN(H40,MIN(N($E40)*Paramètres!$C$18,Paramètres!$D$18))</f>
        <v>64068</v>
      </c>
      <c r="M40" s="57" t="n">
        <f aca="false">MIN(N($E40),Paramètres!$C$7)*Paramètres!$C$6</f>
        <v>11745.965</v>
      </c>
      <c r="N40" s="57" t="n">
        <f aca="false">MIN(M40,I40*Paramètres!$C$8)</f>
        <v>11745.965</v>
      </c>
      <c r="O40" s="57" t="n">
        <f aca="false">I40*IF(K40="Cadre supérieur",Paramètres!$C$10,Paramètres!$C$9)</f>
        <v>37373.75</v>
      </c>
      <c r="P40" s="57" t="n">
        <f aca="false">MAX(0,ROUNDDOWN(N($E40)-L40-N40-O40,-2))</f>
        <v>100300</v>
      </c>
      <c r="Q40" s="57" t="n">
        <f aca="false">SUMPRODUCT((P40&gt;Paramètres!$B$21:$B$27)*(P40-Paramètres!$B$21:$B$27)*Paramètres!$E$21:$E$27)</f>
        <v>9777.1</v>
      </c>
      <c r="R40" s="57" t="n">
        <f aca="false">Q40*INDEX(Paramètres!$C$31:$C$38,MIN(MAX(INT(N(J40)),0),7)+1)</f>
        <v>0</v>
      </c>
      <c r="S40" s="60" t="n">
        <f aca="false">ROUND(Q40-R40,0)</f>
        <v>9777</v>
      </c>
      <c r="T40" s="57" t="n">
        <f aca="false">ROUND(N($E40)*Paramètres!$C$13,0)</f>
        <v>6407</v>
      </c>
      <c r="U40" s="57" t="n">
        <f aca="false">ROUND(MAX(0,N($E40)-(Q40-R40)-M40)*Paramètres!$C$12,0)</f>
        <v>1920</v>
      </c>
      <c r="V40" s="60" t="n">
        <f aca="false">ROUND(N($E40)-M40-S40-U40,0)</f>
        <v>190120</v>
      </c>
    </row>
    <row r="41" customFormat="false" ht="17.25" hidden="false" customHeight="true" outlineLevel="0" collapsed="false">
      <c r="B41" s="53" t="n">
        <v>32</v>
      </c>
      <c r="C41" s="54" t="s">
        <v>47</v>
      </c>
      <c r="D41" s="55" t="n">
        <v>46252</v>
      </c>
      <c r="E41" s="56" t="n">
        <f aca="false">'Juill-aout-sept 2026'!E39</f>
        <v>0</v>
      </c>
      <c r="F41" s="57" t="n">
        <f aca="false">MIN(ROUNDDOWN(N($E41)*Paramètres!$C$16,0),Paramètres!$D$16)</f>
        <v>0</v>
      </c>
      <c r="G41" s="57" t="n">
        <f aca="false">MIN(ROUNDDOWN(N($E41)*Paramètres!$C$17,0),Paramètres!$D$17)</f>
        <v>0</v>
      </c>
      <c r="H41" s="57" t="n">
        <f aca="false">MIN(ROUNDDOWN(N($E41)*Paramètres!$C$18,0),Paramètres!$D$18)</f>
        <v>0</v>
      </c>
      <c r="I41" s="57" t="n">
        <f aca="false">N($E41)-(F41+G41+H41)</f>
        <v>0</v>
      </c>
      <c r="J41" s="58" t="n">
        <v>0</v>
      </c>
      <c r="K41" s="59" t="str">
        <f aca="false">IF(I41&lt;Paramètres!$C$11,"Cadre inférieur","Cadre supérieur")</f>
        <v>Cadre inférieur</v>
      </c>
      <c r="L41" s="57" t="n">
        <f aca="false">MIN(F41,MIN(N($E41)*Paramètres!$C$16,Paramètres!$D$16))+MIN(G41,MIN(N($E41)*Paramètres!$C$17,Paramètres!$D$17))+MIN(H41,MIN(N($E41)*Paramètres!$C$18,Paramètres!$D$18))</f>
        <v>0</v>
      </c>
      <c r="M41" s="57" t="n">
        <f aca="false">MIN(N($E41),Paramètres!$C$7)*Paramètres!$C$6</f>
        <v>0</v>
      </c>
      <c r="N41" s="57" t="n">
        <f aca="false">MIN(M41,I41*Paramètres!$C$8)</f>
        <v>0</v>
      </c>
      <c r="O41" s="57" t="n">
        <f aca="false">I41*IF(K41="Cadre supérieur",Paramètres!$C$10,Paramètres!$C$9)</f>
        <v>0</v>
      </c>
      <c r="P41" s="57" t="n">
        <f aca="false">MAX(0,ROUNDDOWN(N($E41)-L41-N41-O41,-2))</f>
        <v>0</v>
      </c>
      <c r="Q41" s="57" t="n">
        <f aca="false">SUMPRODUCT((P41&gt;Paramètres!$B$21:$B$27)*(P41-Paramètres!$B$21:$B$27)*Paramètres!$E$21:$E$27)</f>
        <v>0</v>
      </c>
      <c r="R41" s="57" t="n">
        <f aca="false">Q41*INDEX(Paramètres!$C$31:$C$38,MIN(MAX(INT(N(J41)),0),7)+1)</f>
        <v>0</v>
      </c>
      <c r="S41" s="60" t="n">
        <f aca="false">ROUND(Q41-R41,0)</f>
        <v>0</v>
      </c>
      <c r="T41" s="57" t="n">
        <f aca="false">ROUND(N($E41)*Paramètres!$C$13,0)</f>
        <v>0</v>
      </c>
      <c r="U41" s="57" t="n">
        <f aca="false">ROUND(MAX(0,N($E41)-(Q41-R41)-M41)*Paramètres!$C$12,0)</f>
        <v>0</v>
      </c>
      <c r="V41" s="60" t="n">
        <f aca="false">ROUND(N($E41)-M41-S41-U41,0)</f>
        <v>0</v>
      </c>
    </row>
    <row r="42" customFormat="false" ht="17.25" hidden="false" customHeight="true" outlineLevel="0" collapsed="false">
      <c r="B42" s="53" t="n">
        <v>33</v>
      </c>
      <c r="C42" s="54" t="s">
        <v>48</v>
      </c>
      <c r="D42" s="55" t="n">
        <v>46023</v>
      </c>
      <c r="E42" s="56" t="n">
        <f aca="false">'Juill-aout-sept 2026'!E40</f>
        <v>213563</v>
      </c>
      <c r="F42" s="57" t="n">
        <f aca="false">MIN(ROUNDDOWN(N($E42)*Paramètres!$C$16,0),Paramètres!$D$16)</f>
        <v>42712</v>
      </c>
      <c r="G42" s="57" t="n">
        <f aca="false">MIN(ROUNDDOWN(N($E42)*Paramètres!$C$17,0),Paramètres!$D$17)</f>
        <v>10678</v>
      </c>
      <c r="H42" s="57" t="n">
        <f aca="false">MIN(ROUNDDOWN(N($E42)*Paramètres!$C$18,0),Paramètres!$D$18)</f>
        <v>10678</v>
      </c>
      <c r="I42" s="57" t="n">
        <f aca="false">N($E42)-(F42+G42+H42)</f>
        <v>149495</v>
      </c>
      <c r="J42" s="58" t="n">
        <v>0</v>
      </c>
      <c r="K42" s="59" t="str">
        <f aca="false">IF(I42&lt;Paramètres!$C$11,"Cadre inférieur","Cadre supérieur")</f>
        <v>Cadre inférieur</v>
      </c>
      <c r="L42" s="57" t="n">
        <f aca="false">MIN(F42,MIN(N($E42)*Paramètres!$C$16,Paramètres!$D$16))+MIN(G42,MIN(N($E42)*Paramètres!$C$17,Paramètres!$D$17))+MIN(H42,MIN(N($E42)*Paramètres!$C$18,Paramètres!$D$18))</f>
        <v>64068</v>
      </c>
      <c r="M42" s="57" t="n">
        <f aca="false">MIN(N($E42),Paramètres!$C$7)*Paramètres!$C$6</f>
        <v>11745.965</v>
      </c>
      <c r="N42" s="57" t="n">
        <f aca="false">MIN(M42,I42*Paramètres!$C$8)</f>
        <v>11745.965</v>
      </c>
      <c r="O42" s="57" t="n">
        <f aca="false">I42*IF(K42="Cadre supérieur",Paramètres!$C$10,Paramètres!$C$9)</f>
        <v>37373.75</v>
      </c>
      <c r="P42" s="57" t="n">
        <f aca="false">MAX(0,ROUNDDOWN(N($E42)-L42-N42-O42,-2))</f>
        <v>100300</v>
      </c>
      <c r="Q42" s="57" t="n">
        <f aca="false">SUMPRODUCT((P42&gt;Paramètres!$B$21:$B$27)*(P42-Paramètres!$B$21:$B$27)*Paramètres!$E$21:$E$27)</f>
        <v>9777.1</v>
      </c>
      <c r="R42" s="57" t="n">
        <f aca="false">Q42*INDEX(Paramètres!$C$31:$C$38,MIN(MAX(INT(N(J42)),0),7)+1)</f>
        <v>0</v>
      </c>
      <c r="S42" s="60" t="n">
        <f aca="false">ROUND(Q42-R42,0)</f>
        <v>9777</v>
      </c>
      <c r="T42" s="57" t="n">
        <f aca="false">ROUND(N($E42)*Paramètres!$C$13,0)</f>
        <v>6407</v>
      </c>
      <c r="U42" s="57" t="n">
        <f aca="false">ROUND(MAX(0,N($E42)-(Q42-R42)-M42)*Paramètres!$C$12,0)</f>
        <v>1920</v>
      </c>
      <c r="V42" s="60" t="n">
        <f aca="false">ROUND(N($E42)-M42-S42-U42,0)</f>
        <v>190120</v>
      </c>
    </row>
    <row r="43" customFormat="false" ht="17.25" hidden="false" customHeight="true" outlineLevel="0" collapsed="false">
      <c r="B43" s="53" t="n">
        <v>34</v>
      </c>
      <c r="C43" s="54" t="s">
        <v>49</v>
      </c>
      <c r="D43" s="55" t="n">
        <v>46220</v>
      </c>
      <c r="E43" s="56" t="n">
        <f aca="false">'Juill-aout-sept 2026'!E41</f>
        <v>0</v>
      </c>
      <c r="F43" s="57" t="n">
        <f aca="false">MIN(ROUNDDOWN(N($E43)*Paramètres!$C$16,0),Paramètres!$D$16)</f>
        <v>0</v>
      </c>
      <c r="G43" s="57" t="n">
        <f aca="false">MIN(ROUNDDOWN(N($E43)*Paramètres!$C$17,0),Paramètres!$D$17)</f>
        <v>0</v>
      </c>
      <c r="H43" s="57" t="n">
        <f aca="false">MIN(ROUNDDOWN(N($E43)*Paramètres!$C$18,0),Paramètres!$D$18)</f>
        <v>0</v>
      </c>
      <c r="I43" s="57" t="n">
        <f aca="false">N($E43)-(F43+G43+H43)</f>
        <v>0</v>
      </c>
      <c r="J43" s="58" t="n">
        <v>0</v>
      </c>
      <c r="K43" s="59" t="str">
        <f aca="false">IF(I43&lt;Paramètres!$C$11,"Cadre inférieur","Cadre supérieur")</f>
        <v>Cadre inférieur</v>
      </c>
      <c r="L43" s="57" t="n">
        <f aca="false">MIN(F43,MIN(N($E43)*Paramètres!$C$16,Paramètres!$D$16))+MIN(G43,MIN(N($E43)*Paramètres!$C$17,Paramètres!$D$17))+MIN(H43,MIN(N($E43)*Paramètres!$C$18,Paramètres!$D$18))</f>
        <v>0</v>
      </c>
      <c r="M43" s="57" t="n">
        <f aca="false">MIN(N($E43),Paramètres!$C$7)*Paramètres!$C$6</f>
        <v>0</v>
      </c>
      <c r="N43" s="57" t="n">
        <f aca="false">MIN(M43,I43*Paramètres!$C$8)</f>
        <v>0</v>
      </c>
      <c r="O43" s="57" t="n">
        <f aca="false">I43*IF(K43="Cadre supérieur",Paramètres!$C$10,Paramètres!$C$9)</f>
        <v>0</v>
      </c>
      <c r="P43" s="57" t="n">
        <f aca="false">MAX(0,ROUNDDOWN(N($E43)-L43-N43-O43,-2))</f>
        <v>0</v>
      </c>
      <c r="Q43" s="57" t="n">
        <f aca="false">SUMPRODUCT((P43&gt;Paramètres!$B$21:$B$27)*(P43-Paramètres!$B$21:$B$27)*Paramètres!$E$21:$E$27)</f>
        <v>0</v>
      </c>
      <c r="R43" s="57" t="n">
        <f aca="false">Q43*INDEX(Paramètres!$C$31:$C$38,MIN(MAX(INT(N(J43)),0),7)+1)</f>
        <v>0</v>
      </c>
      <c r="S43" s="60" t="n">
        <f aca="false">ROUND(Q43-R43,0)</f>
        <v>0</v>
      </c>
      <c r="T43" s="57" t="n">
        <f aca="false">ROUND(N($E43)*Paramètres!$C$13,0)</f>
        <v>0</v>
      </c>
      <c r="U43" s="57" t="n">
        <f aca="false">ROUND(MAX(0,N($E43)-(Q43-R43)-M43)*Paramètres!$C$12,0)</f>
        <v>0</v>
      </c>
      <c r="V43" s="60" t="n">
        <f aca="false">ROUND(N($E43)-M43-S43-U43,0)</f>
        <v>0</v>
      </c>
    </row>
    <row r="44" customFormat="false" ht="17.25" hidden="false" customHeight="true" outlineLevel="0" collapsed="false">
      <c r="B44" s="53" t="n">
        <v>35</v>
      </c>
      <c r="C44" s="54" t="s">
        <v>50</v>
      </c>
      <c r="D44" s="55" t="n">
        <v>46068</v>
      </c>
      <c r="E44" s="56" t="n">
        <f aca="false">'Juill-aout-sept 2026'!E42</f>
        <v>135983</v>
      </c>
      <c r="F44" s="57" t="n">
        <f aca="false">MIN(ROUNDDOWN(N($E44)*Paramètres!$C$16,0),Paramètres!$D$16)</f>
        <v>27196</v>
      </c>
      <c r="G44" s="57" t="n">
        <f aca="false">MIN(ROUNDDOWN(N($E44)*Paramètres!$C$17,0),Paramètres!$D$17)</f>
        <v>6799</v>
      </c>
      <c r="H44" s="57" t="n">
        <f aca="false">MIN(ROUNDDOWN(N($E44)*Paramètres!$C$18,0),Paramètres!$D$18)</f>
        <v>6799</v>
      </c>
      <c r="I44" s="57" t="n">
        <f aca="false">N($E44)-(F44+G44+H44)</f>
        <v>95189</v>
      </c>
      <c r="J44" s="58" t="n">
        <v>0</v>
      </c>
      <c r="K44" s="59" t="str">
        <f aca="false">IF(I44&lt;Paramètres!$C$11,"Cadre inférieur","Cadre supérieur")</f>
        <v>Cadre inférieur</v>
      </c>
      <c r="L44" s="57" t="n">
        <f aca="false">MIN(F44,MIN(N($E44)*Paramètres!$C$16,Paramètres!$D$16))+MIN(G44,MIN(N($E44)*Paramètres!$C$17,Paramètres!$D$17))+MIN(H44,MIN(N($E44)*Paramètres!$C$18,Paramètres!$D$18))</f>
        <v>40794</v>
      </c>
      <c r="M44" s="57" t="n">
        <f aca="false">MIN(N($E44),Paramètres!$C$7)*Paramètres!$C$6</f>
        <v>7479.065</v>
      </c>
      <c r="N44" s="57" t="n">
        <f aca="false">MIN(M44,I44*Paramètres!$C$8)</f>
        <v>7479.065</v>
      </c>
      <c r="O44" s="57" t="n">
        <f aca="false">I44*IF(K44="Cadre supérieur",Paramètres!$C$10,Paramètres!$C$9)</f>
        <v>23797.25</v>
      </c>
      <c r="P44" s="57" t="n">
        <f aca="false">MAX(0,ROUNDDOWN(N($E44)-L44-N44-O44,-2))</f>
        <v>63900</v>
      </c>
      <c r="Q44" s="57" t="n">
        <f aca="false">SUMPRODUCT((P44&gt;Paramètres!$B$21:$B$27)*(P44-Paramètres!$B$21:$B$27)*Paramètres!$E$21:$E$27)</f>
        <v>4352.1</v>
      </c>
      <c r="R44" s="57" t="n">
        <f aca="false">Q44*INDEX(Paramètres!$C$31:$C$38,MIN(MAX(INT(N(J44)),0),7)+1)</f>
        <v>0</v>
      </c>
      <c r="S44" s="60" t="n">
        <f aca="false">ROUND(Q44-R44,0)</f>
        <v>4352</v>
      </c>
      <c r="T44" s="57" t="n">
        <f aca="false">ROUND(N($E44)*Paramètres!$C$13,0)</f>
        <v>4079</v>
      </c>
      <c r="U44" s="57" t="n">
        <f aca="false">ROUND(MAX(0,N($E44)-(Q44-R44)-M44)*Paramètres!$C$12,0)</f>
        <v>1242</v>
      </c>
      <c r="V44" s="60" t="n">
        <f aca="false">ROUND(N($E44)-M44-S44-U44,0)</f>
        <v>122910</v>
      </c>
    </row>
    <row r="45" customFormat="false" ht="17.25" hidden="false" customHeight="true" outlineLevel="0" collapsed="false">
      <c r="B45" s="53" t="n">
        <v>36</v>
      </c>
      <c r="C45" s="54" t="s">
        <v>51</v>
      </c>
      <c r="D45" s="55" t="n">
        <v>46219</v>
      </c>
      <c r="E45" s="56" t="n">
        <f aca="false">'Juill-aout-sept 2026'!E43</f>
        <v>0</v>
      </c>
      <c r="F45" s="57" t="n">
        <f aca="false">MIN(ROUNDDOWN(N($E45)*Paramètres!$C$16,0),Paramètres!$D$16)</f>
        <v>0</v>
      </c>
      <c r="G45" s="57" t="n">
        <f aca="false">MIN(ROUNDDOWN(N($E45)*Paramètres!$C$17,0),Paramètres!$D$17)</f>
        <v>0</v>
      </c>
      <c r="H45" s="57" t="n">
        <f aca="false">MIN(ROUNDDOWN(N($E45)*Paramètres!$C$18,0),Paramètres!$D$18)</f>
        <v>0</v>
      </c>
      <c r="I45" s="57" t="n">
        <f aca="false">N($E45)-(F45+G45+H45)</f>
        <v>0</v>
      </c>
      <c r="J45" s="58" t="n">
        <v>0</v>
      </c>
      <c r="K45" s="59" t="str">
        <f aca="false">IF(I45&lt;Paramètres!$C$11,"Cadre inférieur","Cadre supérieur")</f>
        <v>Cadre inférieur</v>
      </c>
      <c r="L45" s="57" t="n">
        <f aca="false">MIN(F45,MIN(N($E45)*Paramètres!$C$16,Paramètres!$D$16))+MIN(G45,MIN(N($E45)*Paramètres!$C$17,Paramètres!$D$17))+MIN(H45,MIN(N($E45)*Paramètres!$C$18,Paramètres!$D$18))</f>
        <v>0</v>
      </c>
      <c r="M45" s="57" t="n">
        <f aca="false">MIN(N($E45),Paramètres!$C$7)*Paramètres!$C$6</f>
        <v>0</v>
      </c>
      <c r="N45" s="57" t="n">
        <f aca="false">MIN(M45,I45*Paramètres!$C$8)</f>
        <v>0</v>
      </c>
      <c r="O45" s="57" t="n">
        <f aca="false">I45*IF(K45="Cadre supérieur",Paramètres!$C$10,Paramètres!$C$9)</f>
        <v>0</v>
      </c>
      <c r="P45" s="57" t="n">
        <f aca="false">MAX(0,ROUNDDOWN(N($E45)-L45-N45-O45,-2))</f>
        <v>0</v>
      </c>
      <c r="Q45" s="57" t="n">
        <f aca="false">SUMPRODUCT((P45&gt;Paramètres!$B$21:$B$27)*(P45-Paramètres!$B$21:$B$27)*Paramètres!$E$21:$E$27)</f>
        <v>0</v>
      </c>
      <c r="R45" s="57" t="n">
        <f aca="false">Q45*INDEX(Paramètres!$C$31:$C$38,MIN(MAX(INT(N(J45)),0),7)+1)</f>
        <v>0</v>
      </c>
      <c r="S45" s="60" t="n">
        <f aca="false">ROUND(Q45-R45,0)</f>
        <v>0</v>
      </c>
      <c r="T45" s="57" t="n">
        <f aca="false">ROUND(N($E45)*Paramètres!$C$13,0)</f>
        <v>0</v>
      </c>
      <c r="U45" s="57" t="n">
        <f aca="false">ROUND(MAX(0,N($E45)-(Q45-R45)-M45)*Paramètres!$C$12,0)</f>
        <v>0</v>
      </c>
      <c r="V45" s="60" t="n">
        <f aca="false">ROUND(N($E45)-M45-S45-U45,0)</f>
        <v>0</v>
      </c>
    </row>
    <row r="46" customFormat="false" ht="17.25" hidden="false" customHeight="true" outlineLevel="0" collapsed="false">
      <c r="B46" s="53" t="n">
        <v>37</v>
      </c>
      <c r="C46" s="54" t="s">
        <v>52</v>
      </c>
      <c r="D46" s="55" t="n">
        <v>44562</v>
      </c>
      <c r="E46" s="56" t="n">
        <f aca="false">'Juill-aout-sept 2026'!E44</f>
        <v>866830</v>
      </c>
      <c r="F46" s="57" t="n">
        <f aca="false">MIN(ROUNDDOWN(N($E46)*Paramètres!$C$16,0),Paramètres!$D$16)</f>
        <v>75000</v>
      </c>
      <c r="G46" s="57" t="n">
        <f aca="false">MIN(ROUNDDOWN(N($E46)*Paramètres!$C$17,0),Paramètres!$D$17)</f>
        <v>30000</v>
      </c>
      <c r="H46" s="57" t="n">
        <f aca="false">MIN(ROUNDDOWN(N($E46)*Paramètres!$C$18,0),Paramètres!$D$18)</f>
        <v>43341</v>
      </c>
      <c r="I46" s="57" t="n">
        <f aca="false">N($E46)-(F46+G46+H46)</f>
        <v>718489</v>
      </c>
      <c r="J46" s="58" t="n">
        <v>0</v>
      </c>
      <c r="K46" s="59" t="str">
        <f aca="false">IF(I46&lt;Paramètres!$C$11,"Cadre inférieur","Cadre supérieur")</f>
        <v>Cadre supérieur</v>
      </c>
      <c r="L46" s="57" t="n">
        <f aca="false">MIN(F46,MIN(N($E46)*Paramètres!$C$16,Paramètres!$D$16))+MIN(G46,MIN(N($E46)*Paramètres!$C$17,Paramètres!$D$17))+MIN(H46,MIN(N($E46)*Paramètres!$C$18,Paramètres!$D$18))</f>
        <v>148341</v>
      </c>
      <c r="M46" s="57" t="n">
        <f aca="false">MIN(N($E46),Paramètres!$C$7)*Paramètres!$C$6</f>
        <v>44000</v>
      </c>
      <c r="N46" s="57" t="n">
        <f aca="false">MIN(M46,I46*Paramètres!$C$8)</f>
        <v>44000</v>
      </c>
      <c r="O46" s="57" t="n">
        <f aca="false">I46*IF(K46="Cadre supérieur",Paramètres!$C$10,Paramètres!$C$9)</f>
        <v>143697.8</v>
      </c>
      <c r="P46" s="57" t="n">
        <f aca="false">MAX(0,ROUNDDOWN(N($E46)-L46-N46-O46,-2))</f>
        <v>530700</v>
      </c>
      <c r="Q46" s="57" t="n">
        <f aca="false">SUMPRODUCT((P46&gt;Paramètres!$B$21:$B$27)*(P46-Paramètres!$B$21:$B$27)*Paramètres!$E$21:$E$27)</f>
        <v>109605</v>
      </c>
      <c r="R46" s="57" t="n">
        <f aca="false">Q46*INDEX(Paramètres!$C$31:$C$38,MIN(MAX(INT(N(J46)),0),7)+1)</f>
        <v>0</v>
      </c>
      <c r="S46" s="60" t="n">
        <f aca="false">ROUND(Q46-R46,0)</f>
        <v>109605</v>
      </c>
      <c r="T46" s="57" t="n">
        <f aca="false">ROUND(N($E46)*Paramètres!$C$13,0)</f>
        <v>26005</v>
      </c>
      <c r="U46" s="57" t="n">
        <f aca="false">ROUND(MAX(0,N($E46)-(Q46-R46)-M46)*Paramètres!$C$12,0)</f>
        <v>7132</v>
      </c>
      <c r="V46" s="60" t="n">
        <f aca="false">ROUND(N($E46)-M46-S46-U46,0)</f>
        <v>706093</v>
      </c>
    </row>
    <row r="47" customFormat="false" ht="17.25" hidden="false" customHeight="true" outlineLevel="0" collapsed="false">
      <c r="B47" s="53" t="n">
        <v>38</v>
      </c>
      <c r="C47" s="54" t="s">
        <v>53</v>
      </c>
      <c r="D47" s="55" t="n">
        <v>46213</v>
      </c>
      <c r="E47" s="56" t="n">
        <f aca="false">'Juill-aout-sept 2026'!E45</f>
        <v>0</v>
      </c>
      <c r="F47" s="57" t="n">
        <f aca="false">MIN(ROUNDDOWN(N($E47)*Paramètres!$C$16,0),Paramètres!$D$16)</f>
        <v>0</v>
      </c>
      <c r="G47" s="57" t="n">
        <f aca="false">MIN(ROUNDDOWN(N($E47)*Paramètres!$C$17,0),Paramètres!$D$17)</f>
        <v>0</v>
      </c>
      <c r="H47" s="57" t="n">
        <f aca="false">MIN(ROUNDDOWN(N($E47)*Paramètres!$C$18,0),Paramètres!$D$18)</f>
        <v>0</v>
      </c>
      <c r="I47" s="57" t="n">
        <f aca="false">N($E47)-(F47+G47+H47)</f>
        <v>0</v>
      </c>
      <c r="J47" s="58" t="n">
        <v>0</v>
      </c>
      <c r="K47" s="59" t="str">
        <f aca="false">IF(I47&lt;Paramètres!$C$11,"Cadre inférieur","Cadre supérieur")</f>
        <v>Cadre inférieur</v>
      </c>
      <c r="L47" s="57" t="n">
        <f aca="false">MIN(F47,MIN(N($E47)*Paramètres!$C$16,Paramètres!$D$16))+MIN(G47,MIN(N($E47)*Paramètres!$C$17,Paramètres!$D$17))+MIN(H47,MIN(N($E47)*Paramètres!$C$18,Paramètres!$D$18))</f>
        <v>0</v>
      </c>
      <c r="M47" s="57" t="n">
        <f aca="false">MIN(N($E47),Paramètres!$C$7)*Paramètres!$C$6</f>
        <v>0</v>
      </c>
      <c r="N47" s="57" t="n">
        <f aca="false">MIN(M47,I47*Paramètres!$C$8)</f>
        <v>0</v>
      </c>
      <c r="O47" s="57" t="n">
        <f aca="false">I47*IF(K47="Cadre supérieur",Paramètres!$C$10,Paramètres!$C$9)</f>
        <v>0</v>
      </c>
      <c r="P47" s="57" t="n">
        <f aca="false">MAX(0,ROUNDDOWN(N($E47)-L47-N47-O47,-2))</f>
        <v>0</v>
      </c>
      <c r="Q47" s="57" t="n">
        <f aca="false">SUMPRODUCT((P47&gt;Paramètres!$B$21:$B$27)*(P47-Paramètres!$B$21:$B$27)*Paramètres!$E$21:$E$27)</f>
        <v>0</v>
      </c>
      <c r="R47" s="57" t="n">
        <f aca="false">Q47*INDEX(Paramètres!$C$31:$C$38,MIN(MAX(INT(N(J47)),0),7)+1)</f>
        <v>0</v>
      </c>
      <c r="S47" s="60" t="n">
        <f aca="false">ROUND(Q47-R47,0)</f>
        <v>0</v>
      </c>
      <c r="T47" s="57" t="n">
        <f aca="false">ROUND(N($E47)*Paramètres!$C$13,0)</f>
        <v>0</v>
      </c>
      <c r="U47" s="57" t="n">
        <f aca="false">ROUND(MAX(0,N($E47)-(Q47-R47)-M47)*Paramètres!$C$12,0)</f>
        <v>0</v>
      </c>
      <c r="V47" s="60" t="n">
        <f aca="false">ROUND(N($E47)-M47-S47-U47,0)</f>
        <v>0</v>
      </c>
    </row>
    <row r="48" customFormat="false" ht="17.25" hidden="false" customHeight="true" outlineLevel="0" collapsed="false">
      <c r="B48" s="53" t="n">
        <v>39</v>
      </c>
      <c r="C48" s="54" t="s">
        <v>54</v>
      </c>
      <c r="D48" s="55" t="n">
        <v>46218</v>
      </c>
      <c r="E48" s="56" t="n">
        <f aca="false">'Juill-aout-sept 2026'!E46</f>
        <v>80000</v>
      </c>
      <c r="F48" s="57" t="n">
        <f aca="false">MIN(ROUNDDOWN(N($E48)*Paramètres!$C$16,0),Paramètres!$D$16)</f>
        <v>16000</v>
      </c>
      <c r="G48" s="57" t="n">
        <f aca="false">MIN(ROUNDDOWN(N($E48)*Paramètres!$C$17,0),Paramètres!$D$17)</f>
        <v>4000</v>
      </c>
      <c r="H48" s="57" t="n">
        <f aca="false">MIN(ROUNDDOWN(N($E48)*Paramètres!$C$18,0),Paramètres!$D$18)</f>
        <v>4000</v>
      </c>
      <c r="I48" s="57" t="n">
        <f aca="false">N($E48)-(F48+G48+H48)</f>
        <v>56000</v>
      </c>
      <c r="J48" s="58" t="n">
        <v>0</v>
      </c>
      <c r="K48" s="59" t="str">
        <f aca="false">IF(I48&lt;Paramètres!$C$11,"Cadre inférieur","Cadre supérieur")</f>
        <v>Cadre inférieur</v>
      </c>
      <c r="L48" s="57" t="n">
        <f aca="false">MIN(F48,MIN(N($E48)*Paramètres!$C$16,Paramètres!$D$16))+MIN(G48,MIN(N($E48)*Paramètres!$C$17,Paramètres!$D$17))+MIN(H48,MIN(N($E48)*Paramètres!$C$18,Paramètres!$D$18))</f>
        <v>24000</v>
      </c>
      <c r="M48" s="57" t="n">
        <f aca="false">MIN(N($E48),Paramètres!$C$7)*Paramètres!$C$6</f>
        <v>4400</v>
      </c>
      <c r="N48" s="57" t="n">
        <f aca="false">MIN(M48,I48*Paramètres!$C$8)</f>
        <v>4400</v>
      </c>
      <c r="O48" s="57" t="n">
        <f aca="false">I48*IF(K48="Cadre supérieur",Paramètres!$C$10,Paramètres!$C$9)</f>
        <v>14000</v>
      </c>
      <c r="P48" s="57" t="n">
        <f aca="false">MAX(0,ROUNDDOWN(N($E48)-L48-N48-O48,-2))</f>
        <v>37600</v>
      </c>
      <c r="Q48" s="57" t="n">
        <f aca="false">SUMPRODUCT((P48&gt;Paramètres!$B$21:$B$27)*(P48-Paramètres!$B$21:$B$27)*Paramètres!$E$21:$E$27)</f>
        <v>919.6</v>
      </c>
      <c r="R48" s="57" t="n">
        <f aca="false">Q48*INDEX(Paramètres!$C$31:$C$38,MIN(MAX(INT(N(J48)),0),7)+1)</f>
        <v>0</v>
      </c>
      <c r="S48" s="60" t="n">
        <f aca="false">ROUND(Q48-R48,0)</f>
        <v>920</v>
      </c>
      <c r="T48" s="57" t="n">
        <f aca="false">ROUND(N($E48)*Paramètres!$C$13,0)</f>
        <v>2400</v>
      </c>
      <c r="U48" s="57" t="n">
        <f aca="false">ROUND(MAX(0,N($E48)-(Q48-R48)-M48)*Paramètres!$C$12,0)</f>
        <v>747</v>
      </c>
      <c r="V48" s="60" t="n">
        <f aca="false">ROUND(N($E48)-M48-S48-U48,0)</f>
        <v>73933</v>
      </c>
    </row>
    <row r="49" customFormat="false" ht="17.25" hidden="false" customHeight="true" outlineLevel="0" collapsed="false">
      <c r="B49" s="53" t="n">
        <v>40</v>
      </c>
      <c r="C49" s="54" t="s">
        <v>55</v>
      </c>
      <c r="D49" s="55" t="n">
        <v>46144</v>
      </c>
      <c r="E49" s="56" t="n">
        <f aca="false">'Juill-aout-sept 2026'!E47</f>
        <v>108397</v>
      </c>
      <c r="F49" s="57" t="n">
        <f aca="false">MIN(ROUNDDOWN(N($E49)*Paramètres!$C$16,0),Paramètres!$D$16)</f>
        <v>21679</v>
      </c>
      <c r="G49" s="57" t="n">
        <f aca="false">MIN(ROUNDDOWN(N($E49)*Paramètres!$C$17,0),Paramètres!$D$17)</f>
        <v>5419</v>
      </c>
      <c r="H49" s="57" t="n">
        <f aca="false">MIN(ROUNDDOWN(N($E49)*Paramètres!$C$18,0),Paramètres!$D$18)</f>
        <v>5419</v>
      </c>
      <c r="I49" s="57" t="n">
        <f aca="false">N($E49)-(F49+G49+H49)</f>
        <v>75880</v>
      </c>
      <c r="J49" s="58" t="n">
        <v>0</v>
      </c>
      <c r="K49" s="59" t="str">
        <f aca="false">IF(I49&lt;Paramètres!$C$11,"Cadre inférieur","Cadre supérieur")</f>
        <v>Cadre inférieur</v>
      </c>
      <c r="L49" s="57" t="n">
        <f aca="false">MIN(F49,MIN(N($E49)*Paramètres!$C$16,Paramètres!$D$16))+MIN(G49,MIN(N($E49)*Paramètres!$C$17,Paramètres!$D$17))+MIN(H49,MIN(N($E49)*Paramètres!$C$18,Paramètres!$D$18))</f>
        <v>32517</v>
      </c>
      <c r="M49" s="57" t="n">
        <f aca="false">MIN(N($E49),Paramètres!$C$7)*Paramètres!$C$6</f>
        <v>5961.835</v>
      </c>
      <c r="N49" s="57" t="n">
        <f aca="false">MIN(M49,I49*Paramètres!$C$8)</f>
        <v>5961.835</v>
      </c>
      <c r="O49" s="57" t="n">
        <f aca="false">I49*IF(K49="Cadre supérieur",Paramètres!$C$10,Paramètres!$C$9)</f>
        <v>18970</v>
      </c>
      <c r="P49" s="57" t="n">
        <f aca="false">MAX(0,ROUNDDOWN(N($E49)-L49-N49-O49,-2))</f>
        <v>50900</v>
      </c>
      <c r="Q49" s="57" t="n">
        <f aca="false">SUMPRODUCT((P49&gt;Paramètres!$B$21:$B$27)*(P49-Paramètres!$B$21:$B$27)*Paramètres!$E$21:$E$27)</f>
        <v>2545.1</v>
      </c>
      <c r="R49" s="57" t="n">
        <f aca="false">Q49*INDEX(Paramètres!$C$31:$C$38,MIN(MAX(INT(N(J49)),0),7)+1)</f>
        <v>0</v>
      </c>
      <c r="S49" s="60" t="n">
        <f aca="false">ROUND(Q49-R49,0)</f>
        <v>2545</v>
      </c>
      <c r="T49" s="57" t="n">
        <f aca="false">ROUND(N($E49)*Paramètres!$C$13,0)</f>
        <v>3252</v>
      </c>
      <c r="U49" s="57" t="n">
        <f aca="false">ROUND(MAX(0,N($E49)-(Q49-R49)-M49)*Paramètres!$C$12,0)</f>
        <v>999</v>
      </c>
      <c r="V49" s="60" t="n">
        <f aca="false">ROUND(N($E49)-M49-S49-U49,0)</f>
        <v>98891</v>
      </c>
    </row>
    <row r="50" customFormat="false" ht="17.25" hidden="false" customHeight="true" outlineLevel="0" collapsed="false">
      <c r="B50" s="53" t="n">
        <v>41</v>
      </c>
      <c r="C50" s="54" t="s">
        <v>56</v>
      </c>
      <c r="D50" s="55"/>
      <c r="E50" s="56" t="n">
        <f aca="false">'Juill-aout-sept 2026'!E48</f>
        <v>225778</v>
      </c>
      <c r="F50" s="57" t="n">
        <f aca="false">MIN(ROUNDDOWN(N($E50)*Paramètres!$C$16,0),Paramètres!$D$16)</f>
        <v>45155</v>
      </c>
      <c r="G50" s="57" t="n">
        <f aca="false">MIN(ROUNDDOWN(N($E50)*Paramètres!$C$17,0),Paramètres!$D$17)</f>
        <v>11288</v>
      </c>
      <c r="H50" s="57" t="n">
        <f aca="false">MIN(ROUNDDOWN(N($E50)*Paramètres!$C$18,0),Paramètres!$D$18)</f>
        <v>11288</v>
      </c>
      <c r="I50" s="57" t="n">
        <f aca="false">N($E50)-(F50+G50+H50)</f>
        <v>158047</v>
      </c>
      <c r="J50" s="58" t="n">
        <v>0</v>
      </c>
      <c r="K50" s="59" t="str">
        <f aca="false">IF(I50&lt;Paramètres!$C$11,"Cadre inférieur","Cadre supérieur")</f>
        <v>Cadre supérieur</v>
      </c>
      <c r="L50" s="57" t="n">
        <f aca="false">MIN(F50,MIN(N($E50)*Paramètres!$C$16,Paramètres!$D$16))+MIN(G50,MIN(N($E50)*Paramètres!$C$17,Paramètres!$D$17))+MIN(H50,MIN(N($E50)*Paramètres!$C$18,Paramètres!$D$18))</f>
        <v>67731</v>
      </c>
      <c r="M50" s="57" t="n">
        <f aca="false">MIN(N($E50),Paramètres!$C$7)*Paramètres!$C$6</f>
        <v>12417.79</v>
      </c>
      <c r="N50" s="57" t="n">
        <f aca="false">MIN(M50,I50*Paramètres!$C$8)</f>
        <v>12417.79</v>
      </c>
      <c r="O50" s="57" t="n">
        <f aca="false">I50*IF(K50="Cadre supérieur",Paramètres!$C$10,Paramètres!$C$9)</f>
        <v>31609.4</v>
      </c>
      <c r="P50" s="57" t="n">
        <f aca="false">MAX(0,ROUNDDOWN(N($E50)-L50-N50-O50,-2))</f>
        <v>114000</v>
      </c>
      <c r="Q50" s="57" t="n">
        <f aca="false">SUMPRODUCT((P50&gt;Paramètres!$B$21:$B$27)*(P50-Paramètres!$B$21:$B$27)*Paramètres!$E$21:$E$27)</f>
        <v>11928</v>
      </c>
      <c r="R50" s="57" t="n">
        <f aca="false">Q50*INDEX(Paramètres!$C$31:$C$38,MIN(MAX(INT(N(J50)),0),7)+1)</f>
        <v>0</v>
      </c>
      <c r="S50" s="60" t="n">
        <f aca="false">ROUND(Q50-R50,0)</f>
        <v>11928</v>
      </c>
      <c r="T50" s="57" t="n">
        <f aca="false">ROUND(N($E50)*Paramètres!$C$13,0)</f>
        <v>6773</v>
      </c>
      <c r="U50" s="57" t="n">
        <f aca="false">ROUND(MAX(0,N($E50)-(Q50-R50)-M50)*Paramètres!$C$12,0)</f>
        <v>2014</v>
      </c>
      <c r="V50" s="60" t="n">
        <f aca="false">ROUND(N($E50)-M50-S50-U50,0)</f>
        <v>199418</v>
      </c>
    </row>
    <row r="51" customFormat="false" ht="17.25" hidden="false" customHeight="true" outlineLevel="0" collapsed="false">
      <c r="B51" s="53" t="n">
        <v>42</v>
      </c>
      <c r="C51" s="54" t="s">
        <v>57</v>
      </c>
      <c r="D51" s="55" t="n">
        <v>46011</v>
      </c>
      <c r="E51" s="56" t="n">
        <f aca="false">'Juill-aout-sept 2026'!E49</f>
        <v>177387</v>
      </c>
      <c r="F51" s="57" t="n">
        <f aca="false">MIN(ROUNDDOWN(N($E51)*Paramètres!$C$16,0),Paramètres!$D$16)</f>
        <v>35477</v>
      </c>
      <c r="G51" s="57" t="n">
        <f aca="false">MIN(ROUNDDOWN(N($E51)*Paramètres!$C$17,0),Paramètres!$D$17)</f>
        <v>8869</v>
      </c>
      <c r="H51" s="57" t="n">
        <f aca="false">MIN(ROUNDDOWN(N($E51)*Paramètres!$C$18,0),Paramètres!$D$18)</f>
        <v>8869</v>
      </c>
      <c r="I51" s="57" t="n">
        <f aca="false">N($E51)-(F51+G51+H51)</f>
        <v>124172</v>
      </c>
      <c r="J51" s="58" t="n">
        <v>0</v>
      </c>
      <c r="K51" s="59" t="str">
        <f aca="false">IF(I51&lt;Paramètres!$C$11,"Cadre inférieur","Cadre supérieur")</f>
        <v>Cadre inférieur</v>
      </c>
      <c r="L51" s="57" t="n">
        <f aca="false">MIN(F51,MIN(N($E51)*Paramètres!$C$16,Paramètres!$D$16))+MIN(G51,MIN(N($E51)*Paramètres!$C$17,Paramètres!$D$17))+MIN(H51,MIN(N($E51)*Paramètres!$C$18,Paramètres!$D$18))</f>
        <v>53215</v>
      </c>
      <c r="M51" s="57" t="n">
        <f aca="false">MIN(N($E51),Paramètres!$C$7)*Paramètres!$C$6</f>
        <v>9756.285</v>
      </c>
      <c r="N51" s="57" t="n">
        <f aca="false">MIN(M51,I51*Paramètres!$C$8)</f>
        <v>9756.285</v>
      </c>
      <c r="O51" s="57" t="n">
        <f aca="false">I51*IF(K51="Cadre supérieur",Paramètres!$C$10,Paramètres!$C$9)</f>
        <v>31043</v>
      </c>
      <c r="P51" s="57" t="n">
        <f aca="false">MAX(0,ROUNDDOWN(N($E51)-L51-N51-O51,-2))</f>
        <v>83300</v>
      </c>
      <c r="Q51" s="57" t="n">
        <f aca="false">SUMPRODUCT((P51&gt;Paramètres!$B$21:$B$27)*(P51-Paramètres!$B$21:$B$27)*Paramètres!$E$21:$E$27)</f>
        <v>7108.1</v>
      </c>
      <c r="R51" s="57" t="n">
        <f aca="false">Q51*INDEX(Paramètres!$C$31:$C$38,MIN(MAX(INT(N(J51)),0),7)+1)</f>
        <v>0</v>
      </c>
      <c r="S51" s="60" t="n">
        <f aca="false">ROUND(Q51-R51,0)</f>
        <v>7108</v>
      </c>
      <c r="T51" s="57" t="n">
        <f aca="false">ROUND(N($E51)*Paramètres!$C$13,0)</f>
        <v>5322</v>
      </c>
      <c r="U51" s="57" t="n">
        <f aca="false">ROUND(MAX(0,N($E51)-(Q51-R51)-M51)*Paramètres!$C$12,0)</f>
        <v>1605</v>
      </c>
      <c r="V51" s="60" t="n">
        <f aca="false">ROUND(N($E51)-M51-S51-U51,0)</f>
        <v>158918</v>
      </c>
    </row>
    <row r="52" customFormat="false" ht="17.25" hidden="false" customHeight="true" outlineLevel="0" collapsed="false">
      <c r="B52" s="53" t="n">
        <v>43</v>
      </c>
      <c r="C52" s="54" t="s">
        <v>58</v>
      </c>
      <c r="D52" s="55" t="n">
        <v>46183</v>
      </c>
      <c r="E52" s="56" t="n">
        <f aca="false">'Juill-aout-sept 2026'!E50</f>
        <v>0</v>
      </c>
      <c r="F52" s="57" t="n">
        <f aca="false">MIN(ROUNDDOWN(N($E52)*Paramètres!$C$16,0),Paramètres!$D$16)</f>
        <v>0</v>
      </c>
      <c r="G52" s="57" t="n">
        <f aca="false">MIN(ROUNDDOWN(N($E52)*Paramètres!$C$17,0),Paramètres!$D$17)</f>
        <v>0</v>
      </c>
      <c r="H52" s="57" t="n">
        <f aca="false">MIN(ROUNDDOWN(N($E52)*Paramètres!$C$18,0),Paramètres!$D$18)</f>
        <v>0</v>
      </c>
      <c r="I52" s="57" t="n">
        <f aca="false">N($E52)-(F52+G52+H52)</f>
        <v>0</v>
      </c>
      <c r="J52" s="58" t="n">
        <v>0</v>
      </c>
      <c r="K52" s="59" t="str">
        <f aca="false">IF(I52&lt;Paramètres!$C$11,"Cadre inférieur","Cadre supérieur")</f>
        <v>Cadre inférieur</v>
      </c>
      <c r="L52" s="57" t="n">
        <f aca="false">MIN(F52,MIN(N($E52)*Paramètres!$C$16,Paramètres!$D$16))+MIN(G52,MIN(N($E52)*Paramètres!$C$17,Paramètres!$D$17))+MIN(H52,MIN(N($E52)*Paramètres!$C$18,Paramètres!$D$18))</f>
        <v>0</v>
      </c>
      <c r="M52" s="57" t="n">
        <f aca="false">MIN(N($E52),Paramètres!$C$7)*Paramètres!$C$6</f>
        <v>0</v>
      </c>
      <c r="N52" s="57" t="n">
        <f aca="false">MIN(M52,I52*Paramètres!$C$8)</f>
        <v>0</v>
      </c>
      <c r="O52" s="57" t="n">
        <f aca="false">I52*IF(K52="Cadre supérieur",Paramètres!$C$10,Paramètres!$C$9)</f>
        <v>0</v>
      </c>
      <c r="P52" s="57" t="n">
        <f aca="false">MAX(0,ROUNDDOWN(N($E52)-L52-N52-O52,-2))</f>
        <v>0</v>
      </c>
      <c r="Q52" s="57" t="n">
        <f aca="false">SUMPRODUCT((P52&gt;Paramètres!$B$21:$B$27)*(P52-Paramètres!$B$21:$B$27)*Paramètres!$E$21:$E$27)</f>
        <v>0</v>
      </c>
      <c r="R52" s="57" t="n">
        <f aca="false">Q52*INDEX(Paramètres!$C$31:$C$38,MIN(MAX(INT(N(J52)),0),7)+1)</f>
        <v>0</v>
      </c>
      <c r="S52" s="60" t="n">
        <f aca="false">ROUND(Q52-R52,0)</f>
        <v>0</v>
      </c>
      <c r="T52" s="57" t="n">
        <f aca="false">ROUND(N($E52)*Paramètres!$C$13,0)</f>
        <v>0</v>
      </c>
      <c r="U52" s="57" t="n">
        <f aca="false">ROUND(MAX(0,N($E52)-(Q52-R52)-M52)*Paramètres!$C$12,0)</f>
        <v>0</v>
      </c>
      <c r="V52" s="60" t="n">
        <f aca="false">ROUND(N($E52)-M52-S52-U52,0)</f>
        <v>0</v>
      </c>
    </row>
    <row r="53" customFormat="false" ht="17.25" hidden="false" customHeight="true" outlineLevel="0" collapsed="false">
      <c r="B53" s="53" t="n">
        <v>44</v>
      </c>
      <c r="C53" s="54" t="s">
        <v>59</v>
      </c>
      <c r="D53" s="55" t="n">
        <v>45784</v>
      </c>
      <c r="E53" s="56" t="n">
        <f aca="false">'Juill-aout-sept 2026'!E51</f>
        <v>108397</v>
      </c>
      <c r="F53" s="57" t="n">
        <f aca="false">MIN(ROUNDDOWN(N($E53)*Paramètres!$C$16,0),Paramètres!$D$16)</f>
        <v>21679</v>
      </c>
      <c r="G53" s="57" t="n">
        <f aca="false">MIN(ROUNDDOWN(N($E53)*Paramètres!$C$17,0),Paramètres!$D$17)</f>
        <v>5419</v>
      </c>
      <c r="H53" s="57" t="n">
        <f aca="false">MIN(ROUNDDOWN(N($E53)*Paramètres!$C$18,0),Paramètres!$D$18)</f>
        <v>5419</v>
      </c>
      <c r="I53" s="57" t="n">
        <f aca="false">N($E53)-(F53+G53+H53)</f>
        <v>75880</v>
      </c>
      <c r="J53" s="58" t="n">
        <v>0</v>
      </c>
      <c r="K53" s="59" t="str">
        <f aca="false">IF(I53&lt;Paramètres!$C$11,"Cadre inférieur","Cadre supérieur")</f>
        <v>Cadre inférieur</v>
      </c>
      <c r="L53" s="57" t="n">
        <f aca="false">MIN(F53,MIN(N($E53)*Paramètres!$C$16,Paramètres!$D$16))+MIN(G53,MIN(N($E53)*Paramètres!$C$17,Paramètres!$D$17))+MIN(H53,MIN(N($E53)*Paramètres!$C$18,Paramètres!$D$18))</f>
        <v>32517</v>
      </c>
      <c r="M53" s="57" t="n">
        <f aca="false">MIN(N($E53),Paramètres!$C$7)*Paramètres!$C$6</f>
        <v>5961.835</v>
      </c>
      <c r="N53" s="57" t="n">
        <f aca="false">MIN(M53,I53*Paramètres!$C$8)</f>
        <v>5961.835</v>
      </c>
      <c r="O53" s="57" t="n">
        <f aca="false">I53*IF(K53="Cadre supérieur",Paramètres!$C$10,Paramètres!$C$9)</f>
        <v>18970</v>
      </c>
      <c r="P53" s="57" t="n">
        <f aca="false">MAX(0,ROUNDDOWN(N($E53)-L53-N53-O53,-2))</f>
        <v>50900</v>
      </c>
      <c r="Q53" s="57" t="n">
        <f aca="false">SUMPRODUCT((P53&gt;Paramètres!$B$21:$B$27)*(P53-Paramètres!$B$21:$B$27)*Paramètres!$E$21:$E$27)</f>
        <v>2545.1</v>
      </c>
      <c r="R53" s="57" t="n">
        <f aca="false">Q53*INDEX(Paramètres!$C$31:$C$38,MIN(MAX(INT(N(J53)),0),7)+1)</f>
        <v>0</v>
      </c>
      <c r="S53" s="60" t="n">
        <f aca="false">ROUND(Q53-R53,0)</f>
        <v>2545</v>
      </c>
      <c r="T53" s="57" t="n">
        <f aca="false">ROUND(N($E53)*Paramètres!$C$13,0)</f>
        <v>3252</v>
      </c>
      <c r="U53" s="57" t="n">
        <f aca="false">ROUND(MAX(0,N($E53)-(Q53-R53)-M53)*Paramètres!$C$12,0)</f>
        <v>999</v>
      </c>
      <c r="V53" s="60" t="n">
        <f aca="false">ROUND(N($E53)-M53-S53-U53,0)</f>
        <v>98891</v>
      </c>
    </row>
    <row r="54" customFormat="false" ht="17.25" hidden="false" customHeight="true" outlineLevel="0" collapsed="false">
      <c r="B54" s="53" t="n">
        <v>45</v>
      </c>
      <c r="C54" s="54" t="s">
        <v>60</v>
      </c>
      <c r="D54" s="55" t="n">
        <v>46000</v>
      </c>
      <c r="E54" s="56" t="n">
        <f aca="false">'Juill-aout-sept 2026'!E52</f>
        <v>177387</v>
      </c>
      <c r="F54" s="57" t="n">
        <f aca="false">MIN(ROUNDDOWN(N($E54)*Paramètres!$C$16,0),Paramètres!$D$16)</f>
        <v>35477</v>
      </c>
      <c r="G54" s="57" t="n">
        <f aca="false">MIN(ROUNDDOWN(N($E54)*Paramètres!$C$17,0),Paramètres!$D$17)</f>
        <v>8869</v>
      </c>
      <c r="H54" s="57" t="n">
        <f aca="false">MIN(ROUNDDOWN(N($E54)*Paramètres!$C$18,0),Paramètres!$D$18)</f>
        <v>8869</v>
      </c>
      <c r="I54" s="57" t="n">
        <f aca="false">N($E54)-(F54+G54+H54)</f>
        <v>124172</v>
      </c>
      <c r="J54" s="58" t="n">
        <v>0</v>
      </c>
      <c r="K54" s="59" t="str">
        <f aca="false">IF(I54&lt;Paramètres!$C$11,"Cadre inférieur","Cadre supérieur")</f>
        <v>Cadre inférieur</v>
      </c>
      <c r="L54" s="57" t="n">
        <f aca="false">MIN(F54,MIN(N($E54)*Paramètres!$C$16,Paramètres!$D$16))+MIN(G54,MIN(N($E54)*Paramètres!$C$17,Paramètres!$D$17))+MIN(H54,MIN(N($E54)*Paramètres!$C$18,Paramètres!$D$18))</f>
        <v>53215</v>
      </c>
      <c r="M54" s="57" t="n">
        <f aca="false">MIN(N($E54),Paramètres!$C$7)*Paramètres!$C$6</f>
        <v>9756.285</v>
      </c>
      <c r="N54" s="57" t="n">
        <f aca="false">MIN(M54,I54*Paramètres!$C$8)</f>
        <v>9756.285</v>
      </c>
      <c r="O54" s="57" t="n">
        <f aca="false">I54*IF(K54="Cadre supérieur",Paramètres!$C$10,Paramètres!$C$9)</f>
        <v>31043</v>
      </c>
      <c r="P54" s="57" t="n">
        <f aca="false">MAX(0,ROUNDDOWN(N($E54)-L54-N54-O54,-2))</f>
        <v>83300</v>
      </c>
      <c r="Q54" s="57" t="n">
        <f aca="false">SUMPRODUCT((P54&gt;Paramètres!$B$21:$B$27)*(P54-Paramètres!$B$21:$B$27)*Paramètres!$E$21:$E$27)</f>
        <v>7108.1</v>
      </c>
      <c r="R54" s="57" t="n">
        <f aca="false">Q54*INDEX(Paramètres!$C$31:$C$38,MIN(MAX(INT(N(J54)),0),7)+1)</f>
        <v>0</v>
      </c>
      <c r="S54" s="60" t="n">
        <f aca="false">ROUND(Q54-R54,0)</f>
        <v>7108</v>
      </c>
      <c r="T54" s="57" t="n">
        <f aca="false">ROUND(N($E54)*Paramètres!$C$13,0)</f>
        <v>5322</v>
      </c>
      <c r="U54" s="57" t="n">
        <f aca="false">ROUND(MAX(0,N($E54)-(Q54-R54)-M54)*Paramètres!$C$12,0)</f>
        <v>1605</v>
      </c>
      <c r="V54" s="60" t="n">
        <f aca="false">ROUND(N($E54)-M54-S54-U54,0)</f>
        <v>158918</v>
      </c>
    </row>
    <row r="55" customFormat="false" ht="17.25" hidden="false" customHeight="true" outlineLevel="0" collapsed="false">
      <c r="B55" s="53" t="n">
        <v>46</v>
      </c>
      <c r="C55" s="54" t="s">
        <v>61</v>
      </c>
      <c r="D55" s="55" t="n">
        <v>46204</v>
      </c>
      <c r="E55" s="56" t="n">
        <f aca="false">'Juill-aout-sept 2026'!E53</f>
        <v>0</v>
      </c>
      <c r="F55" s="57" t="n">
        <f aca="false">MIN(ROUNDDOWN(N($E55)*Paramètres!$C$16,0),Paramètres!$D$16)</f>
        <v>0</v>
      </c>
      <c r="G55" s="57" t="n">
        <f aca="false">MIN(ROUNDDOWN(N($E55)*Paramètres!$C$17,0),Paramètres!$D$17)</f>
        <v>0</v>
      </c>
      <c r="H55" s="57" t="n">
        <f aca="false">MIN(ROUNDDOWN(N($E55)*Paramètres!$C$18,0),Paramètres!$D$18)</f>
        <v>0</v>
      </c>
      <c r="I55" s="57" t="n">
        <f aca="false">N($E55)-(F55+G55+H55)</f>
        <v>0</v>
      </c>
      <c r="J55" s="58" t="n">
        <v>0</v>
      </c>
      <c r="K55" s="59" t="str">
        <f aca="false">IF(I55&lt;Paramètres!$C$11,"Cadre inférieur","Cadre supérieur")</f>
        <v>Cadre inférieur</v>
      </c>
      <c r="L55" s="57" t="n">
        <f aca="false">MIN(F55,MIN(N($E55)*Paramètres!$C$16,Paramètres!$D$16))+MIN(G55,MIN(N($E55)*Paramètres!$C$17,Paramètres!$D$17))+MIN(H55,MIN(N($E55)*Paramètres!$C$18,Paramètres!$D$18))</f>
        <v>0</v>
      </c>
      <c r="M55" s="57" t="n">
        <f aca="false">MIN(N($E55),Paramètres!$C$7)*Paramètres!$C$6</f>
        <v>0</v>
      </c>
      <c r="N55" s="57" t="n">
        <f aca="false">MIN(M55,I55*Paramètres!$C$8)</f>
        <v>0</v>
      </c>
      <c r="O55" s="57" t="n">
        <f aca="false">I55*IF(K55="Cadre supérieur",Paramètres!$C$10,Paramètres!$C$9)</f>
        <v>0</v>
      </c>
      <c r="P55" s="57" t="n">
        <f aca="false">MAX(0,ROUNDDOWN(N($E55)-L55-N55-O55,-2))</f>
        <v>0</v>
      </c>
      <c r="Q55" s="57" t="n">
        <f aca="false">SUMPRODUCT((P55&gt;Paramètres!$B$21:$B$27)*(P55-Paramètres!$B$21:$B$27)*Paramètres!$E$21:$E$27)</f>
        <v>0</v>
      </c>
      <c r="R55" s="57" t="n">
        <f aca="false">Q55*INDEX(Paramètres!$C$31:$C$38,MIN(MAX(INT(N(J55)),0),7)+1)</f>
        <v>0</v>
      </c>
      <c r="S55" s="60" t="n">
        <f aca="false">ROUND(Q55-R55,0)</f>
        <v>0</v>
      </c>
      <c r="T55" s="57" t="n">
        <f aca="false">ROUND(N($E55)*Paramètres!$C$13,0)</f>
        <v>0</v>
      </c>
      <c r="U55" s="57" t="n">
        <f aca="false">ROUND(MAX(0,N($E55)-(Q55-R55)-M55)*Paramètres!$C$12,0)</f>
        <v>0</v>
      </c>
      <c r="V55" s="60" t="n">
        <f aca="false">ROUND(N($E55)-M55-S55-U55,0)</f>
        <v>0</v>
      </c>
    </row>
    <row r="56" customFormat="false" ht="17.25" hidden="false" customHeight="true" outlineLevel="0" collapsed="false">
      <c r="B56" s="53" t="n">
        <v>47</v>
      </c>
      <c r="C56" s="54" t="s">
        <v>62</v>
      </c>
      <c r="D56" s="55" t="n">
        <v>46088</v>
      </c>
      <c r="E56" s="56" t="n">
        <f aca="false">'Juill-aout-sept 2026'!E54</f>
        <v>135983</v>
      </c>
      <c r="F56" s="57" t="n">
        <f aca="false">MIN(ROUNDDOWN(N($E56)*Paramètres!$C$16,0),Paramètres!$D$16)</f>
        <v>27196</v>
      </c>
      <c r="G56" s="57" t="n">
        <f aca="false">MIN(ROUNDDOWN(N($E56)*Paramètres!$C$17,0),Paramètres!$D$17)</f>
        <v>6799</v>
      </c>
      <c r="H56" s="57" t="n">
        <f aca="false">MIN(ROUNDDOWN(N($E56)*Paramètres!$C$18,0),Paramètres!$D$18)</f>
        <v>6799</v>
      </c>
      <c r="I56" s="57" t="n">
        <f aca="false">N($E56)-(F56+G56+H56)</f>
        <v>95189</v>
      </c>
      <c r="J56" s="58" t="n">
        <v>0</v>
      </c>
      <c r="K56" s="59" t="str">
        <f aca="false">IF(I56&lt;Paramètres!$C$11,"Cadre inférieur","Cadre supérieur")</f>
        <v>Cadre inférieur</v>
      </c>
      <c r="L56" s="57" t="n">
        <f aca="false">MIN(F56,MIN(N($E56)*Paramètres!$C$16,Paramètres!$D$16))+MIN(G56,MIN(N($E56)*Paramètres!$C$17,Paramètres!$D$17))+MIN(H56,MIN(N($E56)*Paramètres!$C$18,Paramètres!$D$18))</f>
        <v>40794</v>
      </c>
      <c r="M56" s="57" t="n">
        <f aca="false">MIN(N($E56),Paramètres!$C$7)*Paramètres!$C$6</f>
        <v>7479.065</v>
      </c>
      <c r="N56" s="57" t="n">
        <f aca="false">MIN(M56,I56*Paramètres!$C$8)</f>
        <v>7479.065</v>
      </c>
      <c r="O56" s="57" t="n">
        <f aca="false">I56*IF(K56="Cadre supérieur",Paramètres!$C$10,Paramètres!$C$9)</f>
        <v>23797.25</v>
      </c>
      <c r="P56" s="57" t="n">
        <f aca="false">MAX(0,ROUNDDOWN(N($E56)-L56-N56-O56,-2))</f>
        <v>63900</v>
      </c>
      <c r="Q56" s="57" t="n">
        <f aca="false">SUMPRODUCT((P56&gt;Paramètres!$B$21:$B$27)*(P56-Paramètres!$B$21:$B$27)*Paramètres!$E$21:$E$27)</f>
        <v>4352.1</v>
      </c>
      <c r="R56" s="57" t="n">
        <f aca="false">Q56*INDEX(Paramètres!$C$31:$C$38,MIN(MAX(INT(N(J56)),0),7)+1)</f>
        <v>0</v>
      </c>
      <c r="S56" s="60" t="n">
        <f aca="false">ROUND(Q56-R56,0)</f>
        <v>4352</v>
      </c>
      <c r="T56" s="57" t="n">
        <f aca="false">ROUND(N($E56)*Paramètres!$C$13,0)</f>
        <v>4079</v>
      </c>
      <c r="U56" s="57" t="n">
        <f aca="false">ROUND(MAX(0,N($E56)-(Q56-R56)-M56)*Paramètres!$C$12,0)</f>
        <v>1242</v>
      </c>
      <c r="V56" s="60" t="n">
        <f aca="false">ROUND(N($E56)-M56-S56-U56,0)</f>
        <v>122910</v>
      </c>
    </row>
    <row r="57" customFormat="false" ht="17.25" hidden="false" customHeight="true" outlineLevel="0" collapsed="false">
      <c r="B57" s="53" t="n">
        <v>48</v>
      </c>
      <c r="C57" s="54" t="s">
        <v>63</v>
      </c>
      <c r="D57" s="55" t="n">
        <v>45766</v>
      </c>
      <c r="E57" s="56" t="n">
        <f aca="false">'Juill-aout-sept 2026'!E55</f>
        <v>471355</v>
      </c>
      <c r="F57" s="57" t="n">
        <f aca="false">MIN(ROUNDDOWN(N($E57)*Paramètres!$C$16,0),Paramètres!$D$16)</f>
        <v>75000</v>
      </c>
      <c r="G57" s="57" t="n">
        <f aca="false">MIN(ROUNDDOWN(N($E57)*Paramètres!$C$17,0),Paramètres!$D$17)</f>
        <v>23567</v>
      </c>
      <c r="H57" s="57" t="n">
        <f aca="false">MIN(ROUNDDOWN(N($E57)*Paramètres!$C$18,0),Paramètres!$D$18)</f>
        <v>23567</v>
      </c>
      <c r="I57" s="57" t="n">
        <f aca="false">N($E57)-(F57+G57+H57)</f>
        <v>349221</v>
      </c>
      <c r="J57" s="58" t="n">
        <v>0</v>
      </c>
      <c r="K57" s="59" t="str">
        <f aca="false">IF(I57&lt;Paramètres!$C$11,"Cadre inférieur","Cadre supérieur")</f>
        <v>Cadre supérieur</v>
      </c>
      <c r="L57" s="57" t="n">
        <f aca="false">MIN(F57,MIN(N($E57)*Paramètres!$C$16,Paramètres!$D$16))+MIN(G57,MIN(N($E57)*Paramètres!$C$17,Paramètres!$D$17))+MIN(H57,MIN(N($E57)*Paramètres!$C$18,Paramètres!$D$18))</f>
        <v>122134</v>
      </c>
      <c r="M57" s="57" t="n">
        <f aca="false">MIN(N($E57),Paramètres!$C$7)*Paramètres!$C$6</f>
        <v>25924.525</v>
      </c>
      <c r="N57" s="57" t="n">
        <f aca="false">MIN(M57,I57*Paramètres!$C$8)</f>
        <v>25924.525</v>
      </c>
      <c r="O57" s="57" t="n">
        <f aca="false">I57*IF(K57="Cadre supérieur",Paramètres!$C$10,Paramètres!$C$9)</f>
        <v>69844.2</v>
      </c>
      <c r="P57" s="57" t="n">
        <f aca="false">MAX(0,ROUNDDOWN(N($E57)-L57-N57-O57,-2))</f>
        <v>253400</v>
      </c>
      <c r="Q57" s="57" t="n">
        <f aca="false">SUMPRODUCT((P57&gt;Paramètres!$B$21:$B$27)*(P57-Paramètres!$B$21:$B$27)*Paramètres!$E$21:$E$27)</f>
        <v>40280</v>
      </c>
      <c r="R57" s="57" t="n">
        <f aca="false">Q57*INDEX(Paramètres!$C$31:$C$38,MIN(MAX(INT(N(J57)),0),7)+1)</f>
        <v>0</v>
      </c>
      <c r="S57" s="60" t="n">
        <f aca="false">ROUND(Q57-R57,0)</f>
        <v>40280</v>
      </c>
      <c r="T57" s="57" t="n">
        <f aca="false">ROUND(N($E57)*Paramètres!$C$13,0)</f>
        <v>14141</v>
      </c>
      <c r="U57" s="57" t="n">
        <f aca="false">ROUND(MAX(0,N($E57)-(Q57-R57)-M57)*Paramètres!$C$12,0)</f>
        <v>4052</v>
      </c>
      <c r="V57" s="60" t="n">
        <f aca="false">ROUND(N($E57)-M57-S57-U57,0)</f>
        <v>401098</v>
      </c>
    </row>
    <row r="58" customFormat="false" ht="17.25" hidden="false" customHeight="true" outlineLevel="0" collapsed="false">
      <c r="B58" s="53" t="n">
        <v>49</v>
      </c>
      <c r="C58" s="54" t="s">
        <v>64</v>
      </c>
      <c r="D58" s="55" t="n">
        <v>45778</v>
      </c>
      <c r="E58" s="56" t="n">
        <f aca="false">'Juill-aout-sept 2026'!E56</f>
        <v>213563</v>
      </c>
      <c r="F58" s="57" t="n">
        <f aca="false">MIN(ROUNDDOWN(N($E58)*Paramètres!$C$16,0),Paramètres!$D$16)</f>
        <v>42712</v>
      </c>
      <c r="G58" s="57" t="n">
        <f aca="false">MIN(ROUNDDOWN(N($E58)*Paramètres!$C$17,0),Paramètres!$D$17)</f>
        <v>10678</v>
      </c>
      <c r="H58" s="57" t="n">
        <f aca="false">MIN(ROUNDDOWN(N($E58)*Paramètres!$C$18,0),Paramètres!$D$18)</f>
        <v>10678</v>
      </c>
      <c r="I58" s="57" t="n">
        <f aca="false">N($E58)-(F58+G58+H58)</f>
        <v>149495</v>
      </c>
      <c r="J58" s="58" t="n">
        <v>0</v>
      </c>
      <c r="K58" s="59" t="str">
        <f aca="false">IF(I58&lt;Paramètres!$C$11,"Cadre inférieur","Cadre supérieur")</f>
        <v>Cadre inférieur</v>
      </c>
      <c r="L58" s="57" t="n">
        <f aca="false">MIN(F58,MIN(N($E58)*Paramètres!$C$16,Paramètres!$D$16))+MIN(G58,MIN(N($E58)*Paramètres!$C$17,Paramètres!$D$17))+MIN(H58,MIN(N($E58)*Paramètres!$C$18,Paramètres!$D$18))</f>
        <v>64068</v>
      </c>
      <c r="M58" s="57" t="n">
        <f aca="false">MIN(N($E58),Paramètres!$C$7)*Paramètres!$C$6</f>
        <v>11745.965</v>
      </c>
      <c r="N58" s="57" t="n">
        <f aca="false">MIN(M58,I58*Paramètres!$C$8)</f>
        <v>11745.965</v>
      </c>
      <c r="O58" s="57" t="n">
        <f aca="false">I58*IF(K58="Cadre supérieur",Paramètres!$C$10,Paramètres!$C$9)</f>
        <v>37373.75</v>
      </c>
      <c r="P58" s="57" t="n">
        <f aca="false">MAX(0,ROUNDDOWN(N($E58)-L58-N58-O58,-2))</f>
        <v>100300</v>
      </c>
      <c r="Q58" s="57" t="n">
        <f aca="false">SUMPRODUCT((P58&gt;Paramètres!$B$21:$B$27)*(P58-Paramètres!$B$21:$B$27)*Paramètres!$E$21:$E$27)</f>
        <v>9777.1</v>
      </c>
      <c r="R58" s="57" t="n">
        <f aca="false">Q58*INDEX(Paramètres!$C$31:$C$38,MIN(MAX(INT(N(J58)),0),7)+1)</f>
        <v>0</v>
      </c>
      <c r="S58" s="60" t="n">
        <f aca="false">ROUND(Q58-R58,0)</f>
        <v>9777</v>
      </c>
      <c r="T58" s="57" t="n">
        <f aca="false">ROUND(N($E58)*Paramètres!$C$13,0)</f>
        <v>6407</v>
      </c>
      <c r="U58" s="57" t="n">
        <f aca="false">ROUND(MAX(0,N($E58)-(Q58-R58)-M58)*Paramètres!$C$12,0)</f>
        <v>1920</v>
      </c>
      <c r="V58" s="60" t="n">
        <f aca="false">ROUND(N($E58)-M58-S58-U58,0)</f>
        <v>190120</v>
      </c>
    </row>
    <row r="59" customFormat="false" ht="17.25" hidden="false" customHeight="true" outlineLevel="0" collapsed="false">
      <c r="B59" s="53" t="n">
        <v>50</v>
      </c>
      <c r="C59" s="54" t="s">
        <v>7</v>
      </c>
      <c r="D59" s="55" t="n">
        <v>45778</v>
      </c>
      <c r="E59" s="56" t="n">
        <f aca="false">'Juill-aout-sept 2026'!E57</f>
        <v>213563</v>
      </c>
      <c r="F59" s="57" t="n">
        <f aca="false">MIN(ROUNDDOWN(N($E59)*Paramètres!$C$16,0),Paramètres!$D$16)</f>
        <v>42712</v>
      </c>
      <c r="G59" s="57" t="n">
        <f aca="false">MIN(ROUNDDOWN(N($E59)*Paramètres!$C$17,0),Paramètres!$D$17)</f>
        <v>10678</v>
      </c>
      <c r="H59" s="57" t="n">
        <f aca="false">MIN(ROUNDDOWN(N($E59)*Paramètres!$C$18,0),Paramètres!$D$18)</f>
        <v>10678</v>
      </c>
      <c r="I59" s="57" t="n">
        <f aca="false">N($E59)-(F59+G59+H59)</f>
        <v>149495</v>
      </c>
      <c r="J59" s="58" t="n">
        <v>0</v>
      </c>
      <c r="K59" s="59" t="str">
        <f aca="false">IF(I59&lt;Paramètres!$C$11,"Cadre inférieur","Cadre supérieur")</f>
        <v>Cadre inférieur</v>
      </c>
      <c r="L59" s="57" t="n">
        <f aca="false">MIN(F59,MIN(N($E59)*Paramètres!$C$16,Paramètres!$D$16))+MIN(G59,MIN(N($E59)*Paramètres!$C$17,Paramètres!$D$17))+MIN(H59,MIN(N($E59)*Paramètres!$C$18,Paramètres!$D$18))</f>
        <v>64068</v>
      </c>
      <c r="M59" s="57" t="n">
        <f aca="false">MIN(N($E59),Paramètres!$C$7)*Paramètres!$C$6</f>
        <v>11745.965</v>
      </c>
      <c r="N59" s="57" t="n">
        <f aca="false">MIN(M59,I59*Paramètres!$C$8)</f>
        <v>11745.965</v>
      </c>
      <c r="O59" s="57" t="n">
        <f aca="false">I59*IF(K59="Cadre supérieur",Paramètres!$C$10,Paramètres!$C$9)</f>
        <v>37373.75</v>
      </c>
      <c r="P59" s="57" t="n">
        <f aca="false">MAX(0,ROUNDDOWN(N($E59)-L59-N59-O59,-2))</f>
        <v>100300</v>
      </c>
      <c r="Q59" s="57" t="n">
        <f aca="false">SUMPRODUCT((P59&gt;Paramètres!$B$21:$B$27)*(P59-Paramètres!$B$21:$B$27)*Paramètres!$E$21:$E$27)</f>
        <v>9777.1</v>
      </c>
      <c r="R59" s="57" t="n">
        <f aca="false">Q59*INDEX(Paramètres!$C$31:$C$38,MIN(MAX(INT(N(J59)),0),7)+1)</f>
        <v>0</v>
      </c>
      <c r="S59" s="60" t="n">
        <f aca="false">ROUND(Q59-R59,0)</f>
        <v>9777</v>
      </c>
      <c r="T59" s="57" t="n">
        <f aca="false">ROUND(N($E59)*Paramètres!$C$13,0)</f>
        <v>6407</v>
      </c>
      <c r="U59" s="57" t="n">
        <f aca="false">ROUND(MAX(0,N($E59)-(Q59-R59)-M59)*Paramètres!$C$12,0)</f>
        <v>1920</v>
      </c>
      <c r="V59" s="60" t="n">
        <f aca="false">ROUND(N($E59)-M59-S59-U59,0)</f>
        <v>190120</v>
      </c>
    </row>
    <row r="60" customFormat="false" ht="17.25" hidden="false" customHeight="true" outlineLevel="0" collapsed="false">
      <c r="B60" s="53"/>
      <c r="C60" s="54" t="s">
        <v>65</v>
      </c>
      <c r="D60" s="55"/>
      <c r="E60" s="56" t="n">
        <f aca="false">'Juill-aout-sept 2026'!E58</f>
        <v>0</v>
      </c>
      <c r="F60" s="57" t="n">
        <f aca="false">MIN(ROUNDDOWN(N($E60)*Paramètres!$C$16,0),Paramètres!$D$16)</f>
        <v>0</v>
      </c>
      <c r="G60" s="57" t="n">
        <f aca="false">MIN(ROUNDDOWN(N($E60)*Paramètres!$C$17,0),Paramètres!$D$17)</f>
        <v>0</v>
      </c>
      <c r="H60" s="57" t="n">
        <f aca="false">MIN(ROUNDDOWN(N($E60)*Paramètres!$C$18,0),Paramètres!$D$18)</f>
        <v>0</v>
      </c>
      <c r="I60" s="57" t="n">
        <f aca="false">N($E60)-(F60+G60+H60)</f>
        <v>0</v>
      </c>
      <c r="J60" s="58" t="n">
        <v>0</v>
      </c>
      <c r="K60" s="59" t="str">
        <f aca="false">IF(I60&lt;Paramètres!$C$11,"Cadre inférieur","Cadre supérieur")</f>
        <v>Cadre inférieur</v>
      </c>
      <c r="L60" s="57" t="n">
        <f aca="false">MIN(F60,MIN(N($E60)*Paramètres!$C$16,Paramètres!$D$16))+MIN(G60,MIN(N($E60)*Paramètres!$C$17,Paramètres!$D$17))+MIN(H60,MIN(N($E60)*Paramètres!$C$18,Paramètres!$D$18))</f>
        <v>0</v>
      </c>
      <c r="M60" s="57" t="n">
        <f aca="false">MIN(N($E60),Paramètres!$C$7)*Paramètres!$C$6</f>
        <v>0</v>
      </c>
      <c r="N60" s="57" t="n">
        <f aca="false">MIN(M60,I60*Paramètres!$C$8)</f>
        <v>0</v>
      </c>
      <c r="O60" s="57" t="n">
        <f aca="false">I60*IF(K60="Cadre supérieur",Paramètres!$C$10,Paramètres!$C$9)</f>
        <v>0</v>
      </c>
      <c r="P60" s="57" t="n">
        <f aca="false">MAX(0,ROUNDDOWN(N($E60)-L60-N60-O60,-2))</f>
        <v>0</v>
      </c>
      <c r="Q60" s="57" t="n">
        <f aca="false">SUMPRODUCT((P60&gt;Paramètres!$B$21:$B$27)*(P60-Paramètres!$B$21:$B$27)*Paramètres!$E$21:$E$27)</f>
        <v>0</v>
      </c>
      <c r="R60" s="57" t="n">
        <f aca="false">Q60*INDEX(Paramètres!$C$31:$C$38,MIN(MAX(INT(N(J60)),0),7)+1)</f>
        <v>0</v>
      </c>
      <c r="S60" s="60" t="n">
        <f aca="false">ROUND(Q60-R60,0)</f>
        <v>0</v>
      </c>
      <c r="T60" s="57" t="n">
        <f aca="false">ROUND(N($E60)*Paramètres!$C$13,0)</f>
        <v>0</v>
      </c>
      <c r="U60" s="57" t="n">
        <f aca="false">ROUND(MAX(0,N($E60)-(Q60-R60)-M60)*Paramètres!$C$12,0)</f>
        <v>0</v>
      </c>
      <c r="V60" s="60" t="n">
        <f aca="false">ROUND(N($E60)-M60-S60-U60,0)</f>
        <v>0</v>
      </c>
    </row>
    <row r="61" customFormat="false" ht="17.25" hidden="false" customHeight="true" outlineLevel="0" collapsed="false">
      <c r="B61" s="53" t="n">
        <v>51</v>
      </c>
      <c r="C61" s="54" t="s">
        <v>66</v>
      </c>
      <c r="D61" s="55" t="n">
        <v>45778</v>
      </c>
      <c r="E61" s="56" t="n">
        <f aca="false">'Juill-aout-sept 2026'!E59</f>
        <v>213566</v>
      </c>
      <c r="F61" s="57" t="n">
        <f aca="false">MIN(ROUNDDOWN(N($E61)*Paramètres!$C$16,0),Paramètres!$D$16)</f>
        <v>42713</v>
      </c>
      <c r="G61" s="57" t="n">
        <f aca="false">MIN(ROUNDDOWN(N($E61)*Paramètres!$C$17,0),Paramètres!$D$17)</f>
        <v>10678</v>
      </c>
      <c r="H61" s="57" t="n">
        <f aca="false">MIN(ROUNDDOWN(N($E61)*Paramètres!$C$18,0),Paramètres!$D$18)</f>
        <v>10678</v>
      </c>
      <c r="I61" s="57" t="n">
        <f aca="false">N($E61)-(F61+G61+H61)</f>
        <v>149497</v>
      </c>
      <c r="J61" s="58" t="n">
        <v>0</v>
      </c>
      <c r="K61" s="59" t="str">
        <f aca="false">IF(I61&lt;Paramètres!$C$11,"Cadre inférieur","Cadre supérieur")</f>
        <v>Cadre inférieur</v>
      </c>
      <c r="L61" s="57" t="n">
        <f aca="false">MIN(F61,MIN(N($E61)*Paramètres!$C$16,Paramètres!$D$16))+MIN(G61,MIN(N($E61)*Paramètres!$C$17,Paramètres!$D$17))+MIN(H61,MIN(N($E61)*Paramètres!$C$18,Paramètres!$D$18))</f>
        <v>64069</v>
      </c>
      <c r="M61" s="57" t="n">
        <f aca="false">MIN(N($E61),Paramètres!$C$7)*Paramètres!$C$6</f>
        <v>11746.13</v>
      </c>
      <c r="N61" s="57" t="n">
        <f aca="false">MIN(M61,I61*Paramètres!$C$8)</f>
        <v>11746.13</v>
      </c>
      <c r="O61" s="57" t="n">
        <f aca="false">I61*IF(K61="Cadre supérieur",Paramètres!$C$10,Paramètres!$C$9)</f>
        <v>37374.25</v>
      </c>
      <c r="P61" s="57" t="n">
        <f aca="false">MAX(0,ROUNDDOWN(N($E61)-L61-N61-O61,-2))</f>
        <v>100300</v>
      </c>
      <c r="Q61" s="57" t="n">
        <f aca="false">SUMPRODUCT((P61&gt;Paramètres!$B$21:$B$27)*(P61-Paramètres!$B$21:$B$27)*Paramètres!$E$21:$E$27)</f>
        <v>9777.1</v>
      </c>
      <c r="R61" s="57" t="n">
        <f aca="false">Q61*INDEX(Paramètres!$C$31:$C$38,MIN(MAX(INT(N(J61)),0),7)+1)</f>
        <v>0</v>
      </c>
      <c r="S61" s="60" t="n">
        <f aca="false">ROUND(Q61-R61,0)</f>
        <v>9777</v>
      </c>
      <c r="T61" s="57" t="n">
        <f aca="false">ROUND(N($E61)*Paramètres!$C$13,0)</f>
        <v>6407</v>
      </c>
      <c r="U61" s="57" t="n">
        <f aca="false">ROUND(MAX(0,N($E61)-(Q61-R61)-M61)*Paramètres!$C$12,0)</f>
        <v>1920</v>
      </c>
      <c r="V61" s="60" t="n">
        <f aca="false">ROUND(N($E61)-M61-S61-U61,0)</f>
        <v>190123</v>
      </c>
    </row>
    <row r="62" customFormat="false" ht="17.25" hidden="false" customHeight="true" outlineLevel="0" collapsed="false">
      <c r="B62" s="53" t="n">
        <v>52</v>
      </c>
      <c r="C62" s="54" t="s">
        <v>67</v>
      </c>
      <c r="D62" s="55" t="n">
        <v>46235</v>
      </c>
      <c r="E62" s="56" t="n">
        <f aca="false">'Juill-aout-sept 2026'!E60</f>
        <v>0</v>
      </c>
      <c r="F62" s="57" t="n">
        <f aca="false">MIN(ROUNDDOWN(N($E62)*Paramètres!$C$16,0),Paramètres!$D$16)</f>
        <v>0</v>
      </c>
      <c r="G62" s="57" t="n">
        <f aca="false">MIN(ROUNDDOWN(N($E62)*Paramètres!$C$17,0),Paramètres!$D$17)</f>
        <v>0</v>
      </c>
      <c r="H62" s="57" t="n">
        <f aca="false">MIN(ROUNDDOWN(N($E62)*Paramètres!$C$18,0),Paramètres!$D$18)</f>
        <v>0</v>
      </c>
      <c r="I62" s="57" t="n">
        <f aca="false">N($E62)-(F62+G62+H62)</f>
        <v>0</v>
      </c>
      <c r="J62" s="58" t="n">
        <v>0</v>
      </c>
      <c r="K62" s="59" t="str">
        <f aca="false">IF(I62&lt;Paramètres!$C$11,"Cadre inférieur","Cadre supérieur")</f>
        <v>Cadre inférieur</v>
      </c>
      <c r="L62" s="57" t="n">
        <f aca="false">MIN(F62,MIN(N($E62)*Paramètres!$C$16,Paramètres!$D$16))+MIN(G62,MIN(N($E62)*Paramètres!$C$17,Paramètres!$D$17))+MIN(H62,MIN(N($E62)*Paramètres!$C$18,Paramètres!$D$18))</f>
        <v>0</v>
      </c>
      <c r="M62" s="57" t="n">
        <f aca="false">MIN(N($E62),Paramètres!$C$7)*Paramètres!$C$6</f>
        <v>0</v>
      </c>
      <c r="N62" s="57" t="n">
        <f aca="false">MIN(M62,I62*Paramètres!$C$8)</f>
        <v>0</v>
      </c>
      <c r="O62" s="57" t="n">
        <f aca="false">I62*IF(K62="Cadre supérieur",Paramètres!$C$10,Paramètres!$C$9)</f>
        <v>0</v>
      </c>
      <c r="P62" s="57" t="n">
        <f aca="false">MAX(0,ROUNDDOWN(N($E62)-L62-N62-O62,-2))</f>
        <v>0</v>
      </c>
      <c r="Q62" s="57" t="n">
        <f aca="false">SUMPRODUCT((P62&gt;Paramètres!$B$21:$B$27)*(P62-Paramètres!$B$21:$B$27)*Paramètres!$E$21:$E$27)</f>
        <v>0</v>
      </c>
      <c r="R62" s="57" t="n">
        <f aca="false">Q62*INDEX(Paramètres!$C$31:$C$38,MIN(MAX(INT(N(J62)),0),7)+1)</f>
        <v>0</v>
      </c>
      <c r="S62" s="60" t="n">
        <f aca="false">ROUND(Q62-R62,0)</f>
        <v>0</v>
      </c>
      <c r="T62" s="57" t="n">
        <f aca="false">ROUND(N($E62)*Paramètres!$C$13,0)</f>
        <v>0</v>
      </c>
      <c r="U62" s="57" t="n">
        <f aca="false">ROUND(MAX(0,N($E62)-(Q62-R62)-M62)*Paramètres!$C$12,0)</f>
        <v>0</v>
      </c>
      <c r="V62" s="60" t="n">
        <f aca="false">ROUND(N($E62)-M62-S62-U62,0)</f>
        <v>0</v>
      </c>
    </row>
    <row r="63" customFormat="false" ht="17.25" hidden="false" customHeight="true" outlineLevel="0" collapsed="false">
      <c r="B63" s="53" t="n">
        <v>53</v>
      </c>
      <c r="C63" s="54" t="s">
        <v>68</v>
      </c>
      <c r="D63" s="55" t="n">
        <v>46175</v>
      </c>
      <c r="E63" s="56" t="n">
        <f aca="false">'Juill-aout-sept 2026'!E61</f>
        <v>177387</v>
      </c>
      <c r="F63" s="57" t="n">
        <f aca="false">MIN(ROUNDDOWN(N($E63)*Paramètres!$C$16,0),Paramètres!$D$16)</f>
        <v>35477</v>
      </c>
      <c r="G63" s="57" t="n">
        <f aca="false">MIN(ROUNDDOWN(N($E63)*Paramètres!$C$17,0),Paramètres!$D$17)</f>
        <v>8869</v>
      </c>
      <c r="H63" s="57" t="n">
        <f aca="false">MIN(ROUNDDOWN(N($E63)*Paramètres!$C$18,0),Paramètres!$D$18)</f>
        <v>8869</v>
      </c>
      <c r="I63" s="57" t="n">
        <f aca="false">N($E63)-(F63+G63+H63)</f>
        <v>124172</v>
      </c>
      <c r="J63" s="58" t="n">
        <v>0</v>
      </c>
      <c r="K63" s="59" t="str">
        <f aca="false">IF(I63&lt;Paramètres!$C$11,"Cadre inférieur","Cadre supérieur")</f>
        <v>Cadre inférieur</v>
      </c>
      <c r="L63" s="57" t="n">
        <f aca="false">MIN(F63,MIN(N($E63)*Paramètres!$C$16,Paramètres!$D$16))+MIN(G63,MIN(N($E63)*Paramètres!$C$17,Paramètres!$D$17))+MIN(H63,MIN(N($E63)*Paramètres!$C$18,Paramètres!$D$18))</f>
        <v>53215</v>
      </c>
      <c r="M63" s="57" t="n">
        <f aca="false">MIN(N($E63),Paramètres!$C$7)*Paramètres!$C$6</f>
        <v>9756.285</v>
      </c>
      <c r="N63" s="57" t="n">
        <f aca="false">MIN(M63,I63*Paramètres!$C$8)</f>
        <v>9756.285</v>
      </c>
      <c r="O63" s="57" t="n">
        <f aca="false">I63*IF(K63="Cadre supérieur",Paramètres!$C$10,Paramètres!$C$9)</f>
        <v>31043</v>
      </c>
      <c r="P63" s="57" t="n">
        <f aca="false">MAX(0,ROUNDDOWN(N($E63)-L63-N63-O63,-2))</f>
        <v>83300</v>
      </c>
      <c r="Q63" s="57" t="n">
        <f aca="false">SUMPRODUCT((P63&gt;Paramètres!$B$21:$B$27)*(P63-Paramètres!$B$21:$B$27)*Paramètres!$E$21:$E$27)</f>
        <v>7108.1</v>
      </c>
      <c r="R63" s="57" t="n">
        <f aca="false">Q63*INDEX(Paramètres!$C$31:$C$38,MIN(MAX(INT(N(J63)),0),7)+1)</f>
        <v>0</v>
      </c>
      <c r="S63" s="60" t="n">
        <f aca="false">ROUND(Q63-R63,0)</f>
        <v>7108</v>
      </c>
      <c r="T63" s="57" t="n">
        <f aca="false">ROUND(N($E63)*Paramètres!$C$13,0)</f>
        <v>5322</v>
      </c>
      <c r="U63" s="57" t="n">
        <f aca="false">ROUND(MAX(0,N($E63)-(Q63-R63)-M63)*Paramètres!$C$12,0)</f>
        <v>1605</v>
      </c>
      <c r="V63" s="60" t="n">
        <f aca="false">ROUND(N($E63)-M63-S63-U63,0)</f>
        <v>158918</v>
      </c>
    </row>
    <row r="64" customFormat="false" ht="17.25" hidden="false" customHeight="true" outlineLevel="0" collapsed="false">
      <c r="B64" s="53" t="n">
        <v>54</v>
      </c>
      <c r="C64" s="54" t="s">
        <v>69</v>
      </c>
      <c r="D64" s="55" t="n">
        <v>45901</v>
      </c>
      <c r="E64" s="56" t="n">
        <f aca="false">'Juill-aout-sept 2026'!E62</f>
        <v>213566</v>
      </c>
      <c r="F64" s="57" t="n">
        <f aca="false">MIN(ROUNDDOWN(N($E64)*Paramètres!$C$16,0),Paramètres!$D$16)</f>
        <v>42713</v>
      </c>
      <c r="G64" s="57" t="n">
        <f aca="false">MIN(ROUNDDOWN(N($E64)*Paramètres!$C$17,0),Paramètres!$D$17)</f>
        <v>10678</v>
      </c>
      <c r="H64" s="57" t="n">
        <f aca="false">MIN(ROUNDDOWN(N($E64)*Paramètres!$C$18,0),Paramètres!$D$18)</f>
        <v>10678</v>
      </c>
      <c r="I64" s="57" t="n">
        <f aca="false">N($E64)-(F64+G64+H64)</f>
        <v>149497</v>
      </c>
      <c r="J64" s="58" t="n">
        <v>0</v>
      </c>
      <c r="K64" s="59" t="str">
        <f aca="false">IF(I64&lt;Paramètres!$C$11,"Cadre inférieur","Cadre supérieur")</f>
        <v>Cadre inférieur</v>
      </c>
      <c r="L64" s="57" t="n">
        <f aca="false">MIN(F64,MIN(N($E64)*Paramètres!$C$16,Paramètres!$D$16))+MIN(G64,MIN(N($E64)*Paramètres!$C$17,Paramètres!$D$17))+MIN(H64,MIN(N($E64)*Paramètres!$C$18,Paramètres!$D$18))</f>
        <v>64069</v>
      </c>
      <c r="M64" s="57" t="n">
        <f aca="false">MIN(N($E64),Paramètres!$C$7)*Paramètres!$C$6</f>
        <v>11746.13</v>
      </c>
      <c r="N64" s="57" t="n">
        <f aca="false">MIN(M64,I64*Paramètres!$C$8)</f>
        <v>11746.13</v>
      </c>
      <c r="O64" s="57" t="n">
        <f aca="false">I64*IF(K64="Cadre supérieur",Paramètres!$C$10,Paramètres!$C$9)</f>
        <v>37374.25</v>
      </c>
      <c r="P64" s="57" t="n">
        <f aca="false">MAX(0,ROUNDDOWN(N($E64)-L64-N64-O64,-2))</f>
        <v>100300</v>
      </c>
      <c r="Q64" s="57" t="n">
        <f aca="false">SUMPRODUCT((P64&gt;Paramètres!$B$21:$B$27)*(P64-Paramètres!$B$21:$B$27)*Paramètres!$E$21:$E$27)</f>
        <v>9777.1</v>
      </c>
      <c r="R64" s="57" t="n">
        <f aca="false">Q64*INDEX(Paramètres!$C$31:$C$38,MIN(MAX(INT(N(J64)),0),7)+1)</f>
        <v>0</v>
      </c>
      <c r="S64" s="60" t="n">
        <f aca="false">ROUND(Q64-R64,0)</f>
        <v>9777</v>
      </c>
      <c r="T64" s="57" t="n">
        <f aca="false">ROUND(N($E64)*Paramètres!$C$13,0)</f>
        <v>6407</v>
      </c>
      <c r="U64" s="57" t="n">
        <f aca="false">ROUND(MAX(0,N($E64)-(Q64-R64)-M64)*Paramètres!$C$12,0)</f>
        <v>1920</v>
      </c>
      <c r="V64" s="60" t="n">
        <f aca="false">ROUND(N($E64)-M64-S64-U64,0)</f>
        <v>190123</v>
      </c>
    </row>
    <row r="65" customFormat="false" ht="17.25" hidden="false" customHeight="true" outlineLevel="0" collapsed="false">
      <c r="B65" s="53" t="n">
        <v>56</v>
      </c>
      <c r="C65" s="54" t="s">
        <v>70</v>
      </c>
      <c r="D65" s="55" t="n">
        <v>45802</v>
      </c>
      <c r="E65" s="56" t="n">
        <f aca="false">'Juill-aout-sept 2026'!E63</f>
        <v>177387</v>
      </c>
      <c r="F65" s="57" t="n">
        <f aca="false">MIN(ROUNDDOWN(N($E65)*Paramètres!$C$16,0),Paramètres!$D$16)</f>
        <v>35477</v>
      </c>
      <c r="G65" s="57" t="n">
        <f aca="false">MIN(ROUNDDOWN(N($E65)*Paramètres!$C$17,0),Paramètres!$D$17)</f>
        <v>8869</v>
      </c>
      <c r="H65" s="57" t="n">
        <f aca="false">MIN(ROUNDDOWN(N($E65)*Paramètres!$C$18,0),Paramètres!$D$18)</f>
        <v>8869</v>
      </c>
      <c r="I65" s="57" t="n">
        <f aca="false">N($E65)-(F65+G65+H65)</f>
        <v>124172</v>
      </c>
      <c r="J65" s="58" t="n">
        <v>0</v>
      </c>
      <c r="K65" s="59" t="str">
        <f aca="false">IF(I65&lt;Paramètres!$C$11,"Cadre inférieur","Cadre supérieur")</f>
        <v>Cadre inférieur</v>
      </c>
      <c r="L65" s="57" t="n">
        <f aca="false">MIN(F65,MIN(N($E65)*Paramètres!$C$16,Paramètres!$D$16))+MIN(G65,MIN(N($E65)*Paramètres!$C$17,Paramètres!$D$17))+MIN(H65,MIN(N($E65)*Paramètres!$C$18,Paramètres!$D$18))</f>
        <v>53215</v>
      </c>
      <c r="M65" s="57" t="n">
        <f aca="false">MIN(N($E65),Paramètres!$C$7)*Paramètres!$C$6</f>
        <v>9756.285</v>
      </c>
      <c r="N65" s="57" t="n">
        <f aca="false">MIN(M65,I65*Paramètres!$C$8)</f>
        <v>9756.285</v>
      </c>
      <c r="O65" s="57" t="n">
        <f aca="false">I65*IF(K65="Cadre supérieur",Paramètres!$C$10,Paramètres!$C$9)</f>
        <v>31043</v>
      </c>
      <c r="P65" s="57" t="n">
        <f aca="false">MAX(0,ROUNDDOWN(N($E65)-L65-N65-O65,-2))</f>
        <v>83300</v>
      </c>
      <c r="Q65" s="57" t="n">
        <f aca="false">SUMPRODUCT((P65&gt;Paramètres!$B$21:$B$27)*(P65-Paramètres!$B$21:$B$27)*Paramètres!$E$21:$E$27)</f>
        <v>7108.1</v>
      </c>
      <c r="R65" s="57" t="n">
        <f aca="false">Q65*INDEX(Paramètres!$C$31:$C$38,MIN(MAX(INT(N(J65)),0),7)+1)</f>
        <v>0</v>
      </c>
      <c r="S65" s="60" t="n">
        <f aca="false">ROUND(Q65-R65,0)</f>
        <v>7108</v>
      </c>
      <c r="T65" s="57" t="n">
        <f aca="false">ROUND(N($E65)*Paramètres!$C$13,0)</f>
        <v>5322</v>
      </c>
      <c r="U65" s="57" t="n">
        <f aca="false">ROUND(MAX(0,N($E65)-(Q65-R65)-M65)*Paramètres!$C$12,0)</f>
        <v>1605</v>
      </c>
      <c r="V65" s="60" t="n">
        <f aca="false">ROUND(N($E65)-M65-S65-U65,0)</f>
        <v>158918</v>
      </c>
    </row>
    <row r="66" customFormat="false" ht="17.25" hidden="false" customHeight="true" outlineLevel="0" collapsed="false">
      <c r="B66" s="53"/>
      <c r="C66" s="54" t="s">
        <v>70</v>
      </c>
      <c r="D66" s="55"/>
      <c r="E66" s="56" t="n">
        <f aca="false">'Juill-aout-sept 2026'!E64</f>
        <v>0</v>
      </c>
      <c r="F66" s="57" t="n">
        <f aca="false">MIN(ROUNDDOWN(N($E66)*Paramètres!$C$16,0),Paramètres!$D$16)</f>
        <v>0</v>
      </c>
      <c r="G66" s="57" t="n">
        <f aca="false">MIN(ROUNDDOWN(N($E66)*Paramètres!$C$17,0),Paramètres!$D$17)</f>
        <v>0</v>
      </c>
      <c r="H66" s="57" t="n">
        <f aca="false">MIN(ROUNDDOWN(N($E66)*Paramètres!$C$18,0),Paramètres!$D$18)</f>
        <v>0</v>
      </c>
      <c r="I66" s="57" t="n">
        <f aca="false">N($E66)-(F66+G66+H66)</f>
        <v>0</v>
      </c>
      <c r="J66" s="58" t="n">
        <v>0</v>
      </c>
      <c r="K66" s="59" t="str">
        <f aca="false">IF(I66&lt;Paramètres!$C$11,"Cadre inférieur","Cadre supérieur")</f>
        <v>Cadre inférieur</v>
      </c>
      <c r="L66" s="57" t="n">
        <f aca="false">MIN(F66,MIN(N($E66)*Paramètres!$C$16,Paramètres!$D$16))+MIN(G66,MIN(N($E66)*Paramètres!$C$17,Paramètres!$D$17))+MIN(H66,MIN(N($E66)*Paramètres!$C$18,Paramètres!$D$18))</f>
        <v>0</v>
      </c>
      <c r="M66" s="57" t="n">
        <f aca="false">MIN(N($E66),Paramètres!$C$7)*Paramètres!$C$6</f>
        <v>0</v>
      </c>
      <c r="N66" s="57" t="n">
        <f aca="false">MIN(M66,I66*Paramètres!$C$8)</f>
        <v>0</v>
      </c>
      <c r="O66" s="57" t="n">
        <f aca="false">I66*IF(K66="Cadre supérieur",Paramètres!$C$10,Paramètres!$C$9)</f>
        <v>0</v>
      </c>
      <c r="P66" s="57" t="n">
        <f aca="false">MAX(0,ROUNDDOWN(N($E66)-L66-N66-O66,-2))</f>
        <v>0</v>
      </c>
      <c r="Q66" s="57" t="n">
        <f aca="false">SUMPRODUCT((P66&gt;Paramètres!$B$21:$B$27)*(P66-Paramètres!$B$21:$B$27)*Paramètres!$E$21:$E$27)</f>
        <v>0</v>
      </c>
      <c r="R66" s="57" t="n">
        <f aca="false">Q66*INDEX(Paramètres!$C$31:$C$38,MIN(MAX(INT(N(J66)),0),7)+1)</f>
        <v>0</v>
      </c>
      <c r="S66" s="60" t="n">
        <f aca="false">ROUND(Q66-R66,0)</f>
        <v>0</v>
      </c>
      <c r="T66" s="57" t="n">
        <f aca="false">ROUND(N($E66)*Paramètres!$C$13,0)</f>
        <v>0</v>
      </c>
      <c r="U66" s="57" t="n">
        <f aca="false">ROUND(MAX(0,N($E66)-(Q66-R66)-M66)*Paramètres!$C$12,0)</f>
        <v>0</v>
      </c>
      <c r="V66" s="60" t="n">
        <f aca="false">ROUND(N($E66)-M66-S66-U66,0)</f>
        <v>0</v>
      </c>
    </row>
    <row r="67" customFormat="false" ht="17.25" hidden="false" customHeight="true" outlineLevel="0" collapsed="false">
      <c r="B67" s="53"/>
      <c r="C67" s="54" t="s">
        <v>71</v>
      </c>
      <c r="D67" s="55"/>
      <c r="E67" s="56" t="n">
        <f aca="false">'Juill-aout-sept 2026'!E65</f>
        <v>0</v>
      </c>
      <c r="F67" s="57" t="n">
        <f aca="false">MIN(ROUNDDOWN(N($E67)*Paramètres!$C$16,0),Paramètres!$D$16)</f>
        <v>0</v>
      </c>
      <c r="G67" s="57" t="n">
        <f aca="false">MIN(ROUNDDOWN(N($E67)*Paramètres!$C$17,0),Paramètres!$D$17)</f>
        <v>0</v>
      </c>
      <c r="H67" s="57" t="n">
        <f aca="false">MIN(ROUNDDOWN(N($E67)*Paramètres!$C$18,0),Paramètres!$D$18)</f>
        <v>0</v>
      </c>
      <c r="I67" s="57" t="n">
        <f aca="false">N($E67)-(F67+G67+H67)</f>
        <v>0</v>
      </c>
      <c r="J67" s="58" t="n">
        <v>0</v>
      </c>
      <c r="K67" s="59" t="str">
        <f aca="false">IF(I67&lt;Paramètres!$C$11,"Cadre inférieur","Cadre supérieur")</f>
        <v>Cadre inférieur</v>
      </c>
      <c r="L67" s="57" t="n">
        <f aca="false">MIN(F67,MIN(N($E67)*Paramètres!$C$16,Paramètres!$D$16))+MIN(G67,MIN(N($E67)*Paramètres!$C$17,Paramètres!$D$17))+MIN(H67,MIN(N($E67)*Paramètres!$C$18,Paramètres!$D$18))</f>
        <v>0</v>
      </c>
      <c r="M67" s="57" t="n">
        <f aca="false">MIN(N($E67),Paramètres!$C$7)*Paramètres!$C$6</f>
        <v>0</v>
      </c>
      <c r="N67" s="57" t="n">
        <f aca="false">MIN(M67,I67*Paramètres!$C$8)</f>
        <v>0</v>
      </c>
      <c r="O67" s="57" t="n">
        <f aca="false">I67*IF(K67="Cadre supérieur",Paramètres!$C$10,Paramètres!$C$9)</f>
        <v>0</v>
      </c>
      <c r="P67" s="57" t="n">
        <f aca="false">MAX(0,ROUNDDOWN(N($E67)-L67-N67-O67,-2))</f>
        <v>0</v>
      </c>
      <c r="Q67" s="57" t="n">
        <f aca="false">SUMPRODUCT((P67&gt;Paramètres!$B$21:$B$27)*(P67-Paramètres!$B$21:$B$27)*Paramètres!$E$21:$E$27)</f>
        <v>0</v>
      </c>
      <c r="R67" s="57" t="n">
        <f aca="false">Q67*INDEX(Paramètres!$C$31:$C$38,MIN(MAX(INT(N(J67)),0),7)+1)</f>
        <v>0</v>
      </c>
      <c r="S67" s="60" t="n">
        <f aca="false">ROUND(Q67-R67,0)</f>
        <v>0</v>
      </c>
      <c r="T67" s="57" t="n">
        <f aca="false">ROUND(N($E67)*Paramètres!$C$13,0)</f>
        <v>0</v>
      </c>
      <c r="U67" s="57" t="n">
        <f aca="false">ROUND(MAX(0,N($E67)-(Q67-R67)-M67)*Paramètres!$C$12,0)</f>
        <v>0</v>
      </c>
      <c r="V67" s="60" t="n">
        <f aca="false">ROUND(N($E67)-M67-S67-U67,0)</f>
        <v>0</v>
      </c>
    </row>
    <row r="68" customFormat="false" ht="17.25" hidden="false" customHeight="true" outlineLevel="0" collapsed="false">
      <c r="B68" s="53" t="n">
        <v>57</v>
      </c>
      <c r="C68" s="54" t="s">
        <v>72</v>
      </c>
      <c r="D68" s="55" t="n">
        <v>45930</v>
      </c>
      <c r="E68" s="56" t="n">
        <f aca="false">'Juill-aout-sept 2026'!E66</f>
        <v>471355</v>
      </c>
      <c r="F68" s="57" t="n">
        <f aca="false">MIN(ROUNDDOWN(N($E68)*Paramètres!$C$16,0),Paramètres!$D$16)</f>
        <v>75000</v>
      </c>
      <c r="G68" s="57" t="n">
        <f aca="false">MIN(ROUNDDOWN(N($E68)*Paramètres!$C$17,0),Paramètres!$D$17)</f>
        <v>23567</v>
      </c>
      <c r="H68" s="57" t="n">
        <f aca="false">MIN(ROUNDDOWN(N($E68)*Paramètres!$C$18,0),Paramètres!$D$18)</f>
        <v>23567</v>
      </c>
      <c r="I68" s="57" t="n">
        <f aca="false">N($E68)-(F68+G68+H68)</f>
        <v>349221</v>
      </c>
      <c r="J68" s="58" t="n">
        <v>0</v>
      </c>
      <c r="K68" s="59" t="str">
        <f aca="false">IF(I68&lt;Paramètres!$C$11,"Cadre inférieur","Cadre supérieur")</f>
        <v>Cadre supérieur</v>
      </c>
      <c r="L68" s="57" t="n">
        <f aca="false">MIN(F68,MIN(N($E68)*Paramètres!$C$16,Paramètres!$D$16))+MIN(G68,MIN(N($E68)*Paramètres!$C$17,Paramètres!$D$17))+MIN(H68,MIN(N($E68)*Paramètres!$C$18,Paramètres!$D$18))</f>
        <v>122134</v>
      </c>
      <c r="M68" s="57" t="n">
        <f aca="false">MIN(N($E68),Paramètres!$C$7)*Paramètres!$C$6</f>
        <v>25924.525</v>
      </c>
      <c r="N68" s="57" t="n">
        <f aca="false">MIN(M68,I68*Paramètres!$C$8)</f>
        <v>25924.525</v>
      </c>
      <c r="O68" s="57" t="n">
        <f aca="false">I68*IF(K68="Cadre supérieur",Paramètres!$C$10,Paramètres!$C$9)</f>
        <v>69844.2</v>
      </c>
      <c r="P68" s="57" t="n">
        <f aca="false">MAX(0,ROUNDDOWN(N($E68)-L68-N68-O68,-2))</f>
        <v>253400</v>
      </c>
      <c r="Q68" s="57" t="n">
        <f aca="false">SUMPRODUCT((P68&gt;Paramètres!$B$21:$B$27)*(P68-Paramètres!$B$21:$B$27)*Paramètres!$E$21:$E$27)</f>
        <v>40280</v>
      </c>
      <c r="R68" s="57" t="n">
        <f aca="false">Q68*INDEX(Paramètres!$C$31:$C$38,MIN(MAX(INT(N(J68)),0),7)+1)</f>
        <v>0</v>
      </c>
      <c r="S68" s="60" t="n">
        <f aca="false">ROUND(Q68-R68,0)</f>
        <v>40280</v>
      </c>
      <c r="T68" s="57" t="n">
        <f aca="false">ROUND(N($E68)*Paramètres!$C$13,0)</f>
        <v>14141</v>
      </c>
      <c r="U68" s="57" t="n">
        <f aca="false">ROUND(MAX(0,N($E68)-(Q68-R68)-M68)*Paramètres!$C$12,0)</f>
        <v>4052</v>
      </c>
      <c r="V68" s="60" t="n">
        <f aca="false">ROUND(N($E68)-M68-S68-U68,0)</f>
        <v>401098</v>
      </c>
    </row>
    <row r="69" customFormat="false" ht="17.25" hidden="false" customHeight="true" outlineLevel="0" collapsed="false">
      <c r="B69" s="53" t="n">
        <v>58</v>
      </c>
      <c r="C69" s="54" t="s">
        <v>73</v>
      </c>
      <c r="D69" s="55" t="n">
        <v>45778</v>
      </c>
      <c r="E69" s="56" t="n">
        <f aca="false">'Juill-aout-sept 2026'!E67</f>
        <v>231913</v>
      </c>
      <c r="F69" s="57" t="n">
        <f aca="false">MIN(ROUNDDOWN(N($E69)*Paramètres!$C$16,0),Paramètres!$D$16)</f>
        <v>46382</v>
      </c>
      <c r="G69" s="57" t="n">
        <f aca="false">MIN(ROUNDDOWN(N($E69)*Paramètres!$C$17,0),Paramètres!$D$17)</f>
        <v>11595</v>
      </c>
      <c r="H69" s="57" t="n">
        <f aca="false">MIN(ROUNDDOWN(N($E69)*Paramètres!$C$18,0),Paramètres!$D$18)</f>
        <v>11595</v>
      </c>
      <c r="I69" s="57" t="n">
        <f aca="false">N($E69)-(F69+G69+H69)</f>
        <v>162341</v>
      </c>
      <c r="J69" s="58" t="n">
        <v>0</v>
      </c>
      <c r="K69" s="59" t="str">
        <f aca="false">IF(I69&lt;Paramètres!$C$11,"Cadre inférieur","Cadre supérieur")</f>
        <v>Cadre supérieur</v>
      </c>
      <c r="L69" s="57" t="n">
        <f aca="false">MIN(F69,MIN(N($E69)*Paramètres!$C$16,Paramètres!$D$16))+MIN(G69,MIN(N($E69)*Paramètres!$C$17,Paramètres!$D$17))+MIN(H69,MIN(N($E69)*Paramètres!$C$18,Paramètres!$D$18))</f>
        <v>69572</v>
      </c>
      <c r="M69" s="57" t="n">
        <f aca="false">MIN(N($E69),Paramètres!$C$7)*Paramètres!$C$6</f>
        <v>12755.215</v>
      </c>
      <c r="N69" s="57" t="n">
        <f aca="false">MIN(M69,I69*Paramètres!$C$8)</f>
        <v>12755.215</v>
      </c>
      <c r="O69" s="57" t="n">
        <f aca="false">I69*IF(K69="Cadre supérieur",Paramètres!$C$10,Paramètres!$C$9)</f>
        <v>32468.2</v>
      </c>
      <c r="P69" s="57" t="n">
        <f aca="false">MAX(0,ROUNDDOWN(N($E69)-L69-N69-O69,-2))</f>
        <v>117100</v>
      </c>
      <c r="Q69" s="57" t="n">
        <f aca="false">SUMPRODUCT((P69&gt;Paramètres!$B$21:$B$27)*(P69-Paramètres!$B$21:$B$27)*Paramètres!$E$21:$E$27)</f>
        <v>12414.7</v>
      </c>
      <c r="R69" s="57" t="n">
        <f aca="false">Q69*INDEX(Paramètres!$C$31:$C$38,MIN(MAX(INT(N(J69)),0),7)+1)</f>
        <v>0</v>
      </c>
      <c r="S69" s="60" t="n">
        <f aca="false">ROUND(Q69-R69,0)</f>
        <v>12415</v>
      </c>
      <c r="T69" s="57" t="n">
        <f aca="false">ROUND(N($E69)*Paramètres!$C$13,0)</f>
        <v>6957</v>
      </c>
      <c r="U69" s="57" t="n">
        <f aca="false">ROUND(MAX(0,N($E69)-(Q69-R69)-M69)*Paramètres!$C$12,0)</f>
        <v>2067</v>
      </c>
      <c r="V69" s="60" t="n">
        <f aca="false">ROUND(N($E69)-M69-S69-U69,0)</f>
        <v>204676</v>
      </c>
    </row>
    <row r="70" customFormat="false" ht="17.25" hidden="false" customHeight="true" outlineLevel="0" collapsed="false">
      <c r="B70" s="53" t="n">
        <v>59</v>
      </c>
      <c r="C70" s="54" t="s">
        <v>9</v>
      </c>
      <c r="D70" s="55" t="n">
        <v>45778</v>
      </c>
      <c r="E70" s="56" t="n">
        <f aca="false">'Juill-aout-sept 2026'!E68</f>
        <v>213566</v>
      </c>
      <c r="F70" s="57" t="n">
        <f aca="false">MIN(ROUNDDOWN(N($E70)*Paramètres!$C$16,0),Paramètres!$D$16)</f>
        <v>42713</v>
      </c>
      <c r="G70" s="57" t="n">
        <f aca="false">MIN(ROUNDDOWN(N($E70)*Paramètres!$C$17,0),Paramètres!$D$17)</f>
        <v>10678</v>
      </c>
      <c r="H70" s="57" t="n">
        <f aca="false">MIN(ROUNDDOWN(N($E70)*Paramètres!$C$18,0),Paramètres!$D$18)</f>
        <v>10678</v>
      </c>
      <c r="I70" s="57" t="n">
        <f aca="false">N($E70)-(F70+G70+H70)</f>
        <v>149497</v>
      </c>
      <c r="J70" s="58" t="n">
        <v>0</v>
      </c>
      <c r="K70" s="59" t="str">
        <f aca="false">IF(I70&lt;Paramètres!$C$11,"Cadre inférieur","Cadre supérieur")</f>
        <v>Cadre inférieur</v>
      </c>
      <c r="L70" s="57" t="n">
        <f aca="false">MIN(F70,MIN(N($E70)*Paramètres!$C$16,Paramètres!$D$16))+MIN(G70,MIN(N($E70)*Paramètres!$C$17,Paramètres!$D$17))+MIN(H70,MIN(N($E70)*Paramètres!$C$18,Paramètres!$D$18))</f>
        <v>64069</v>
      </c>
      <c r="M70" s="57" t="n">
        <f aca="false">MIN(N($E70),Paramètres!$C$7)*Paramètres!$C$6</f>
        <v>11746.13</v>
      </c>
      <c r="N70" s="57" t="n">
        <f aca="false">MIN(M70,I70*Paramètres!$C$8)</f>
        <v>11746.13</v>
      </c>
      <c r="O70" s="57" t="n">
        <f aca="false">I70*IF(K70="Cadre supérieur",Paramètres!$C$10,Paramètres!$C$9)</f>
        <v>37374.25</v>
      </c>
      <c r="P70" s="57" t="n">
        <f aca="false">MAX(0,ROUNDDOWN(N($E70)-L70-N70-O70,-2))</f>
        <v>100300</v>
      </c>
      <c r="Q70" s="57" t="n">
        <f aca="false">SUMPRODUCT((P70&gt;Paramètres!$B$21:$B$27)*(P70-Paramètres!$B$21:$B$27)*Paramètres!$E$21:$E$27)</f>
        <v>9777.1</v>
      </c>
      <c r="R70" s="57" t="n">
        <f aca="false">Q70*INDEX(Paramètres!$C$31:$C$38,MIN(MAX(INT(N(J70)),0),7)+1)</f>
        <v>0</v>
      </c>
      <c r="S70" s="60" t="n">
        <f aca="false">ROUND(Q70-R70,0)</f>
        <v>9777</v>
      </c>
      <c r="T70" s="57" t="n">
        <f aca="false">ROUND(N($E70)*Paramètres!$C$13,0)</f>
        <v>6407</v>
      </c>
      <c r="U70" s="57" t="n">
        <f aca="false">ROUND(MAX(0,N($E70)-(Q70-R70)-M70)*Paramètres!$C$12,0)</f>
        <v>1920</v>
      </c>
      <c r="V70" s="60" t="n">
        <f aca="false">ROUND(N($E70)-M70-S70-U70,0)</f>
        <v>190123</v>
      </c>
    </row>
    <row r="71" customFormat="false" ht="17.25" hidden="false" customHeight="true" outlineLevel="0" collapsed="false">
      <c r="B71" s="53" t="n">
        <v>60</v>
      </c>
      <c r="C71" s="54" t="s">
        <v>74</v>
      </c>
      <c r="D71" s="55" t="n">
        <v>45778</v>
      </c>
      <c r="E71" s="56" t="n">
        <f aca="false">'Juill-aout-sept 2026'!E69</f>
        <v>213566</v>
      </c>
      <c r="F71" s="57" t="n">
        <f aca="false">MIN(ROUNDDOWN(N($E71)*Paramètres!$C$16,0),Paramètres!$D$16)</f>
        <v>42713</v>
      </c>
      <c r="G71" s="57" t="n">
        <f aca="false">MIN(ROUNDDOWN(N($E71)*Paramètres!$C$17,0),Paramètres!$D$17)</f>
        <v>10678</v>
      </c>
      <c r="H71" s="57" t="n">
        <f aca="false">MIN(ROUNDDOWN(N($E71)*Paramètres!$C$18,0),Paramètres!$D$18)</f>
        <v>10678</v>
      </c>
      <c r="I71" s="57" t="n">
        <f aca="false">N($E71)-(F71+G71+H71)</f>
        <v>149497</v>
      </c>
      <c r="J71" s="58" t="n">
        <v>0</v>
      </c>
      <c r="K71" s="59" t="str">
        <f aca="false">IF(I71&lt;Paramètres!$C$11,"Cadre inférieur","Cadre supérieur")</f>
        <v>Cadre inférieur</v>
      </c>
      <c r="L71" s="57" t="n">
        <f aca="false">MIN(F71,MIN(N($E71)*Paramètres!$C$16,Paramètres!$D$16))+MIN(G71,MIN(N($E71)*Paramètres!$C$17,Paramètres!$D$17))+MIN(H71,MIN(N($E71)*Paramètres!$C$18,Paramètres!$D$18))</f>
        <v>64069</v>
      </c>
      <c r="M71" s="57" t="n">
        <f aca="false">MIN(N($E71),Paramètres!$C$7)*Paramètres!$C$6</f>
        <v>11746.13</v>
      </c>
      <c r="N71" s="57" t="n">
        <f aca="false">MIN(M71,I71*Paramètres!$C$8)</f>
        <v>11746.13</v>
      </c>
      <c r="O71" s="57" t="n">
        <f aca="false">I71*IF(K71="Cadre supérieur",Paramètres!$C$10,Paramètres!$C$9)</f>
        <v>37374.25</v>
      </c>
      <c r="P71" s="57" t="n">
        <f aca="false">MAX(0,ROUNDDOWN(N($E71)-L71-N71-O71,-2))</f>
        <v>100300</v>
      </c>
      <c r="Q71" s="57" t="n">
        <f aca="false">SUMPRODUCT((P71&gt;Paramètres!$B$21:$B$27)*(P71-Paramètres!$B$21:$B$27)*Paramètres!$E$21:$E$27)</f>
        <v>9777.1</v>
      </c>
      <c r="R71" s="57" t="n">
        <f aca="false">Q71*INDEX(Paramètres!$C$31:$C$38,MIN(MAX(INT(N(J71)),0),7)+1)</f>
        <v>0</v>
      </c>
      <c r="S71" s="60" t="n">
        <f aca="false">ROUND(Q71-R71,0)</f>
        <v>9777</v>
      </c>
      <c r="T71" s="57" t="n">
        <f aca="false">ROUND(N($E71)*Paramètres!$C$13,0)</f>
        <v>6407</v>
      </c>
      <c r="U71" s="57" t="n">
        <f aca="false">ROUND(MAX(0,N($E71)-(Q71-R71)-M71)*Paramètres!$C$12,0)</f>
        <v>1920</v>
      </c>
      <c r="V71" s="60" t="n">
        <f aca="false">ROUND(N($E71)-M71-S71-U71,0)</f>
        <v>190123</v>
      </c>
    </row>
    <row r="72" customFormat="false" ht="17.25" hidden="false" customHeight="true" outlineLevel="0" collapsed="false">
      <c r="B72" s="53" t="n">
        <v>61</v>
      </c>
      <c r="C72" s="54" t="s">
        <v>75</v>
      </c>
      <c r="D72" s="55" t="n">
        <v>45806</v>
      </c>
      <c r="E72" s="56" t="n">
        <f aca="false">'Juill-aout-sept 2026'!E70</f>
        <v>135983</v>
      </c>
      <c r="F72" s="57" t="n">
        <f aca="false">MIN(ROUNDDOWN(N($E72)*Paramètres!$C$16,0),Paramètres!$D$16)</f>
        <v>27196</v>
      </c>
      <c r="G72" s="57" t="n">
        <f aca="false">MIN(ROUNDDOWN(N($E72)*Paramètres!$C$17,0),Paramètres!$D$17)</f>
        <v>6799</v>
      </c>
      <c r="H72" s="57" t="n">
        <f aca="false">MIN(ROUNDDOWN(N($E72)*Paramètres!$C$18,0),Paramètres!$D$18)</f>
        <v>6799</v>
      </c>
      <c r="I72" s="57" t="n">
        <f aca="false">N($E72)-(F72+G72+H72)</f>
        <v>95189</v>
      </c>
      <c r="J72" s="58" t="n">
        <v>0</v>
      </c>
      <c r="K72" s="59" t="str">
        <f aca="false">IF(I72&lt;Paramètres!$C$11,"Cadre inférieur","Cadre supérieur")</f>
        <v>Cadre inférieur</v>
      </c>
      <c r="L72" s="57" t="n">
        <f aca="false">MIN(F72,MIN(N($E72)*Paramètres!$C$16,Paramètres!$D$16))+MIN(G72,MIN(N($E72)*Paramètres!$C$17,Paramètres!$D$17))+MIN(H72,MIN(N($E72)*Paramètres!$C$18,Paramètres!$D$18))</f>
        <v>40794</v>
      </c>
      <c r="M72" s="57" t="n">
        <f aca="false">MIN(N($E72),Paramètres!$C$7)*Paramètres!$C$6</f>
        <v>7479.065</v>
      </c>
      <c r="N72" s="57" t="n">
        <f aca="false">MIN(M72,I72*Paramètres!$C$8)</f>
        <v>7479.065</v>
      </c>
      <c r="O72" s="57" t="n">
        <f aca="false">I72*IF(K72="Cadre supérieur",Paramètres!$C$10,Paramètres!$C$9)</f>
        <v>23797.25</v>
      </c>
      <c r="P72" s="57" t="n">
        <f aca="false">MAX(0,ROUNDDOWN(N($E72)-L72-N72-O72,-2))</f>
        <v>63900</v>
      </c>
      <c r="Q72" s="57" t="n">
        <f aca="false">SUMPRODUCT((P72&gt;Paramètres!$B$21:$B$27)*(P72-Paramètres!$B$21:$B$27)*Paramètres!$E$21:$E$27)</f>
        <v>4352.1</v>
      </c>
      <c r="R72" s="57" t="n">
        <f aca="false">Q72*INDEX(Paramètres!$C$31:$C$38,MIN(MAX(INT(N(J72)),0),7)+1)</f>
        <v>0</v>
      </c>
      <c r="S72" s="60" t="n">
        <f aca="false">ROUND(Q72-R72,0)</f>
        <v>4352</v>
      </c>
      <c r="T72" s="57" t="n">
        <f aca="false">ROUND(N($E72)*Paramètres!$C$13,0)</f>
        <v>4079</v>
      </c>
      <c r="U72" s="57" t="n">
        <f aca="false">ROUND(MAX(0,N($E72)-(Q72-R72)-M72)*Paramètres!$C$12,0)</f>
        <v>1242</v>
      </c>
      <c r="V72" s="60" t="n">
        <f aca="false">ROUND(N($E72)-M72-S72-U72,0)</f>
        <v>122910</v>
      </c>
    </row>
    <row r="73" customFormat="false" ht="17.25" hidden="false" customHeight="true" outlineLevel="0" collapsed="false">
      <c r="B73" s="53" t="n">
        <v>62</v>
      </c>
      <c r="C73" s="54" t="s">
        <v>76</v>
      </c>
      <c r="D73" s="55" t="n">
        <v>46174</v>
      </c>
      <c r="E73" s="56" t="n">
        <f aca="false">'Juill-aout-sept 2026'!E71</f>
        <v>213563</v>
      </c>
      <c r="F73" s="57" t="n">
        <f aca="false">MIN(ROUNDDOWN(N($E73)*Paramètres!$C$16,0),Paramètres!$D$16)</f>
        <v>42712</v>
      </c>
      <c r="G73" s="57" t="n">
        <f aca="false">MIN(ROUNDDOWN(N($E73)*Paramètres!$C$17,0),Paramètres!$D$17)</f>
        <v>10678</v>
      </c>
      <c r="H73" s="57" t="n">
        <f aca="false">MIN(ROUNDDOWN(N($E73)*Paramètres!$C$18,0),Paramètres!$D$18)</f>
        <v>10678</v>
      </c>
      <c r="I73" s="57" t="n">
        <f aca="false">N($E73)-(F73+G73+H73)</f>
        <v>149495</v>
      </c>
      <c r="J73" s="58" t="n">
        <v>0</v>
      </c>
      <c r="K73" s="59" t="str">
        <f aca="false">IF(I73&lt;Paramètres!$C$11,"Cadre inférieur","Cadre supérieur")</f>
        <v>Cadre inférieur</v>
      </c>
      <c r="L73" s="57" t="n">
        <f aca="false">MIN(F73,MIN(N($E73)*Paramètres!$C$16,Paramètres!$D$16))+MIN(G73,MIN(N($E73)*Paramètres!$C$17,Paramètres!$D$17))+MIN(H73,MIN(N($E73)*Paramètres!$C$18,Paramètres!$D$18))</f>
        <v>64068</v>
      </c>
      <c r="M73" s="57" t="n">
        <f aca="false">MIN(N($E73),Paramètres!$C$7)*Paramètres!$C$6</f>
        <v>11745.965</v>
      </c>
      <c r="N73" s="57" t="n">
        <f aca="false">MIN(M73,I73*Paramètres!$C$8)</f>
        <v>11745.965</v>
      </c>
      <c r="O73" s="57" t="n">
        <f aca="false">I73*IF(K73="Cadre supérieur",Paramètres!$C$10,Paramètres!$C$9)</f>
        <v>37373.75</v>
      </c>
      <c r="P73" s="57" t="n">
        <f aca="false">MAX(0,ROUNDDOWN(N($E73)-L73-N73-O73,-2))</f>
        <v>100300</v>
      </c>
      <c r="Q73" s="57" t="n">
        <f aca="false">SUMPRODUCT((P73&gt;Paramètres!$B$21:$B$27)*(P73-Paramètres!$B$21:$B$27)*Paramètres!$E$21:$E$27)</f>
        <v>9777.1</v>
      </c>
      <c r="R73" s="57" t="n">
        <f aca="false">Q73*INDEX(Paramètres!$C$31:$C$38,MIN(MAX(INT(N(J73)),0),7)+1)</f>
        <v>0</v>
      </c>
      <c r="S73" s="60" t="n">
        <f aca="false">ROUND(Q73-R73,0)</f>
        <v>9777</v>
      </c>
      <c r="T73" s="57" t="n">
        <f aca="false">ROUND(N($E73)*Paramètres!$C$13,0)</f>
        <v>6407</v>
      </c>
      <c r="U73" s="57" t="n">
        <f aca="false">ROUND(MAX(0,N($E73)-(Q73-R73)-M73)*Paramètres!$C$12,0)</f>
        <v>1920</v>
      </c>
      <c r="V73" s="60" t="n">
        <f aca="false">ROUND(N($E73)-M73-S73-U73,0)</f>
        <v>190120</v>
      </c>
    </row>
    <row r="74" customFormat="false" ht="17.25" hidden="false" customHeight="true" outlineLevel="0" collapsed="false">
      <c r="B74" s="53" t="n">
        <v>63</v>
      </c>
      <c r="C74" s="54" t="s">
        <v>77</v>
      </c>
      <c r="D74" s="55" t="n">
        <v>45930</v>
      </c>
      <c r="E74" s="56" t="n">
        <f aca="false">'Juill-aout-sept 2026'!E72</f>
        <v>165340</v>
      </c>
      <c r="F74" s="57" t="n">
        <f aca="false">MIN(ROUNDDOWN(N($E74)*Paramètres!$C$16,0),Paramètres!$D$16)</f>
        <v>33068</v>
      </c>
      <c r="G74" s="57" t="n">
        <f aca="false">MIN(ROUNDDOWN(N($E74)*Paramètres!$C$17,0),Paramètres!$D$17)</f>
        <v>8267</v>
      </c>
      <c r="H74" s="57" t="n">
        <f aca="false">MIN(ROUNDDOWN(N($E74)*Paramètres!$C$18,0),Paramètres!$D$18)</f>
        <v>8267</v>
      </c>
      <c r="I74" s="57" t="n">
        <f aca="false">N($E74)-(F74+G74+H74)</f>
        <v>115738</v>
      </c>
      <c r="J74" s="58" t="n">
        <v>0</v>
      </c>
      <c r="K74" s="59" t="str">
        <f aca="false">IF(I74&lt;Paramètres!$C$11,"Cadre inférieur","Cadre supérieur")</f>
        <v>Cadre inférieur</v>
      </c>
      <c r="L74" s="57" t="n">
        <f aca="false">MIN(F74,MIN(N($E74)*Paramètres!$C$16,Paramètres!$D$16))+MIN(G74,MIN(N($E74)*Paramètres!$C$17,Paramètres!$D$17))+MIN(H74,MIN(N($E74)*Paramètres!$C$18,Paramètres!$D$18))</f>
        <v>49602</v>
      </c>
      <c r="M74" s="57" t="n">
        <f aca="false">MIN(N($E74),Paramètres!$C$7)*Paramètres!$C$6</f>
        <v>9093.7</v>
      </c>
      <c r="N74" s="57" t="n">
        <f aca="false">MIN(M74,I74*Paramètres!$C$8)</f>
        <v>9093.7</v>
      </c>
      <c r="O74" s="57" t="n">
        <f aca="false">I74*IF(K74="Cadre supérieur",Paramètres!$C$10,Paramètres!$C$9)</f>
        <v>28934.5</v>
      </c>
      <c r="P74" s="57" t="n">
        <f aca="false">MAX(0,ROUNDDOWN(N($E74)-L74-N74-O74,-2))</f>
        <v>77700</v>
      </c>
      <c r="Q74" s="57" t="n">
        <f aca="false">SUMPRODUCT((P74&gt;Paramètres!$B$21:$B$27)*(P74-Paramètres!$B$21:$B$27)*Paramètres!$E$21:$E$27)</f>
        <v>6270.3</v>
      </c>
      <c r="R74" s="57" t="n">
        <f aca="false">Q74*INDEX(Paramètres!$C$31:$C$38,MIN(MAX(INT(N(J74)),0),7)+1)</f>
        <v>0</v>
      </c>
      <c r="S74" s="60" t="n">
        <f aca="false">ROUND(Q74-R74,0)</f>
        <v>6270</v>
      </c>
      <c r="T74" s="57" t="n">
        <f aca="false">ROUND(N($E74)*Paramètres!$C$13,0)</f>
        <v>4960</v>
      </c>
      <c r="U74" s="57" t="n">
        <f aca="false">ROUND(MAX(0,N($E74)-(Q74-R74)-M74)*Paramètres!$C$12,0)</f>
        <v>1500</v>
      </c>
      <c r="V74" s="60" t="n">
        <f aca="false">ROUND(N($E74)-M74-S74-U74,0)</f>
        <v>148476</v>
      </c>
    </row>
    <row r="75" customFormat="false" ht="17.25" hidden="false" customHeight="true" outlineLevel="0" collapsed="false">
      <c r="B75" s="53" t="n">
        <v>64</v>
      </c>
      <c r="C75" s="54" t="s">
        <v>8</v>
      </c>
      <c r="D75" s="55" t="n">
        <v>45912</v>
      </c>
      <c r="E75" s="56" t="n">
        <f aca="false">'Juill-aout-sept 2026'!E73</f>
        <v>213566</v>
      </c>
      <c r="F75" s="57" t="n">
        <f aca="false">MIN(ROUNDDOWN(N($E75)*Paramètres!$C$16,0),Paramètres!$D$16)</f>
        <v>42713</v>
      </c>
      <c r="G75" s="57" t="n">
        <f aca="false">MIN(ROUNDDOWN(N($E75)*Paramètres!$C$17,0),Paramètres!$D$17)</f>
        <v>10678</v>
      </c>
      <c r="H75" s="57" t="n">
        <f aca="false">MIN(ROUNDDOWN(N($E75)*Paramètres!$C$18,0),Paramètres!$D$18)</f>
        <v>10678</v>
      </c>
      <c r="I75" s="57" t="n">
        <f aca="false">N($E75)-(F75+G75+H75)</f>
        <v>149497</v>
      </c>
      <c r="J75" s="58" t="n">
        <v>0</v>
      </c>
      <c r="K75" s="59" t="str">
        <f aca="false">IF(I75&lt;Paramètres!$C$11,"Cadre inférieur","Cadre supérieur")</f>
        <v>Cadre inférieur</v>
      </c>
      <c r="L75" s="57" t="n">
        <f aca="false">MIN(F75,MIN(N($E75)*Paramètres!$C$16,Paramètres!$D$16))+MIN(G75,MIN(N($E75)*Paramètres!$C$17,Paramètres!$D$17))+MIN(H75,MIN(N($E75)*Paramètres!$C$18,Paramètres!$D$18))</f>
        <v>64069</v>
      </c>
      <c r="M75" s="57" t="n">
        <f aca="false">MIN(N($E75),Paramètres!$C$7)*Paramètres!$C$6</f>
        <v>11746.13</v>
      </c>
      <c r="N75" s="57" t="n">
        <f aca="false">MIN(M75,I75*Paramètres!$C$8)</f>
        <v>11746.13</v>
      </c>
      <c r="O75" s="57" t="n">
        <f aca="false">I75*IF(K75="Cadre supérieur",Paramètres!$C$10,Paramètres!$C$9)</f>
        <v>37374.25</v>
      </c>
      <c r="P75" s="57" t="n">
        <f aca="false">MAX(0,ROUNDDOWN(N($E75)-L75-N75-O75,-2))</f>
        <v>100300</v>
      </c>
      <c r="Q75" s="57" t="n">
        <f aca="false">SUMPRODUCT((P75&gt;Paramètres!$B$21:$B$27)*(P75-Paramètres!$B$21:$B$27)*Paramètres!$E$21:$E$27)</f>
        <v>9777.1</v>
      </c>
      <c r="R75" s="57" t="n">
        <f aca="false">Q75*INDEX(Paramètres!$C$31:$C$38,MIN(MAX(INT(N(J75)),0),7)+1)</f>
        <v>0</v>
      </c>
      <c r="S75" s="60" t="n">
        <f aca="false">ROUND(Q75-R75,0)</f>
        <v>9777</v>
      </c>
      <c r="T75" s="57" t="n">
        <f aca="false">ROUND(N($E75)*Paramètres!$C$13,0)</f>
        <v>6407</v>
      </c>
      <c r="U75" s="57" t="n">
        <f aca="false">ROUND(MAX(0,N($E75)-(Q75-R75)-M75)*Paramètres!$C$12,0)</f>
        <v>1920</v>
      </c>
      <c r="V75" s="60" t="n">
        <f aca="false">ROUND(N($E75)-M75-S75-U75,0)</f>
        <v>190123</v>
      </c>
    </row>
    <row r="76" customFormat="false" ht="17.25" hidden="false" customHeight="true" outlineLevel="0" collapsed="false">
      <c r="B76" s="53" t="n">
        <v>65</v>
      </c>
      <c r="C76" s="54" t="s">
        <v>78</v>
      </c>
      <c r="D76" s="55" t="n">
        <v>46183</v>
      </c>
      <c r="E76" s="56" t="n">
        <f aca="false">'Juill-aout-sept 2026'!E74</f>
        <v>80000</v>
      </c>
      <c r="F76" s="57" t="n">
        <f aca="false">MIN(ROUNDDOWN(N($E76)*Paramètres!$C$16,0),Paramètres!$D$16)</f>
        <v>16000</v>
      </c>
      <c r="G76" s="57" t="n">
        <f aca="false">MIN(ROUNDDOWN(N($E76)*Paramètres!$C$17,0),Paramètres!$D$17)</f>
        <v>4000</v>
      </c>
      <c r="H76" s="57" t="n">
        <f aca="false">MIN(ROUNDDOWN(N($E76)*Paramètres!$C$18,0),Paramètres!$D$18)</f>
        <v>4000</v>
      </c>
      <c r="I76" s="57" t="n">
        <f aca="false">N($E76)-(F76+G76+H76)</f>
        <v>56000</v>
      </c>
      <c r="J76" s="58" t="n">
        <v>0</v>
      </c>
      <c r="K76" s="59" t="str">
        <f aca="false">IF(I76&lt;Paramètres!$C$11,"Cadre inférieur","Cadre supérieur")</f>
        <v>Cadre inférieur</v>
      </c>
      <c r="L76" s="57" t="n">
        <f aca="false">MIN(F76,MIN(N($E76)*Paramètres!$C$16,Paramètres!$D$16))+MIN(G76,MIN(N($E76)*Paramètres!$C$17,Paramètres!$D$17))+MIN(H76,MIN(N($E76)*Paramètres!$C$18,Paramètres!$D$18))</f>
        <v>24000</v>
      </c>
      <c r="M76" s="57" t="n">
        <f aca="false">MIN(N($E76),Paramètres!$C$7)*Paramètres!$C$6</f>
        <v>4400</v>
      </c>
      <c r="N76" s="57" t="n">
        <f aca="false">MIN(M76,I76*Paramètres!$C$8)</f>
        <v>4400</v>
      </c>
      <c r="O76" s="57" t="n">
        <f aca="false">I76*IF(K76="Cadre supérieur",Paramètres!$C$10,Paramètres!$C$9)</f>
        <v>14000</v>
      </c>
      <c r="P76" s="57" t="n">
        <f aca="false">MAX(0,ROUNDDOWN(N($E76)-L76-N76-O76,-2))</f>
        <v>37600</v>
      </c>
      <c r="Q76" s="57" t="n">
        <f aca="false">SUMPRODUCT((P76&gt;Paramètres!$B$21:$B$27)*(P76-Paramètres!$B$21:$B$27)*Paramètres!$E$21:$E$27)</f>
        <v>919.6</v>
      </c>
      <c r="R76" s="57" t="n">
        <f aca="false">Q76*INDEX(Paramètres!$C$31:$C$38,MIN(MAX(INT(N(J76)),0),7)+1)</f>
        <v>0</v>
      </c>
      <c r="S76" s="60" t="n">
        <f aca="false">ROUND(Q76-R76,0)</f>
        <v>920</v>
      </c>
      <c r="T76" s="57" t="n">
        <f aca="false">ROUND(N($E76)*Paramètres!$C$13,0)</f>
        <v>2400</v>
      </c>
      <c r="U76" s="57" t="n">
        <f aca="false">ROUND(MAX(0,N($E76)-(Q76-R76)-M76)*Paramètres!$C$12,0)</f>
        <v>747</v>
      </c>
      <c r="V76" s="60" t="n">
        <f aca="false">ROUND(N($E76)-M76-S76-U76,0)</f>
        <v>73933</v>
      </c>
    </row>
    <row r="77" customFormat="false" ht="17.25" hidden="false" customHeight="true" outlineLevel="0" collapsed="false">
      <c r="B77" s="53" t="n">
        <v>66</v>
      </c>
      <c r="C77" s="54" t="s">
        <v>79</v>
      </c>
      <c r="D77" s="55" t="n">
        <v>46023</v>
      </c>
      <c r="E77" s="56" t="n">
        <f aca="false">'Juill-aout-sept 2026'!E75</f>
        <v>135983</v>
      </c>
      <c r="F77" s="57" t="n">
        <f aca="false">MIN(ROUNDDOWN(N($E77)*Paramètres!$C$16,0),Paramètres!$D$16)</f>
        <v>27196</v>
      </c>
      <c r="G77" s="57" t="n">
        <f aca="false">MIN(ROUNDDOWN(N($E77)*Paramètres!$C$17,0),Paramètres!$D$17)</f>
        <v>6799</v>
      </c>
      <c r="H77" s="57" t="n">
        <f aca="false">MIN(ROUNDDOWN(N($E77)*Paramètres!$C$18,0),Paramètres!$D$18)</f>
        <v>6799</v>
      </c>
      <c r="I77" s="57" t="n">
        <f aca="false">N($E77)-(F77+G77+H77)</f>
        <v>95189</v>
      </c>
      <c r="J77" s="58" t="n">
        <v>0</v>
      </c>
      <c r="K77" s="59" t="str">
        <f aca="false">IF(I77&lt;Paramètres!$C$11,"Cadre inférieur","Cadre supérieur")</f>
        <v>Cadre inférieur</v>
      </c>
      <c r="L77" s="57" t="n">
        <f aca="false">MIN(F77,MIN(N($E77)*Paramètres!$C$16,Paramètres!$D$16))+MIN(G77,MIN(N($E77)*Paramètres!$C$17,Paramètres!$D$17))+MIN(H77,MIN(N($E77)*Paramètres!$C$18,Paramètres!$D$18))</f>
        <v>40794</v>
      </c>
      <c r="M77" s="57" t="n">
        <f aca="false">MIN(N($E77),Paramètres!$C$7)*Paramètres!$C$6</f>
        <v>7479.065</v>
      </c>
      <c r="N77" s="57" t="n">
        <f aca="false">MIN(M77,I77*Paramètres!$C$8)</f>
        <v>7479.065</v>
      </c>
      <c r="O77" s="57" t="n">
        <f aca="false">I77*IF(K77="Cadre supérieur",Paramètres!$C$10,Paramètres!$C$9)</f>
        <v>23797.25</v>
      </c>
      <c r="P77" s="57" t="n">
        <f aca="false">MAX(0,ROUNDDOWN(N($E77)-L77-N77-O77,-2))</f>
        <v>63900</v>
      </c>
      <c r="Q77" s="57" t="n">
        <f aca="false">SUMPRODUCT((P77&gt;Paramètres!$B$21:$B$27)*(P77-Paramètres!$B$21:$B$27)*Paramètres!$E$21:$E$27)</f>
        <v>4352.1</v>
      </c>
      <c r="R77" s="57" t="n">
        <f aca="false">Q77*INDEX(Paramètres!$C$31:$C$38,MIN(MAX(INT(N(J77)),0),7)+1)</f>
        <v>0</v>
      </c>
      <c r="S77" s="60" t="n">
        <f aca="false">ROUND(Q77-R77,0)</f>
        <v>4352</v>
      </c>
      <c r="T77" s="57" t="n">
        <f aca="false">ROUND(N($E77)*Paramètres!$C$13,0)</f>
        <v>4079</v>
      </c>
      <c r="U77" s="57" t="n">
        <f aca="false">ROUND(MAX(0,N($E77)-(Q77-R77)-M77)*Paramètres!$C$12,0)</f>
        <v>1242</v>
      </c>
      <c r="V77" s="60" t="n">
        <f aca="false">ROUND(N($E77)-M77-S77-U77,0)</f>
        <v>122910</v>
      </c>
    </row>
    <row r="78" customFormat="false" ht="17.25" hidden="false" customHeight="true" outlineLevel="0" collapsed="false">
      <c r="B78" s="53" t="n">
        <v>67</v>
      </c>
      <c r="C78" s="54" t="s">
        <v>80</v>
      </c>
      <c r="D78" s="55" t="n">
        <v>46204</v>
      </c>
      <c r="E78" s="56" t="n">
        <f aca="false">'Juill-aout-sept 2026'!E76</f>
        <v>0</v>
      </c>
      <c r="F78" s="57" t="n">
        <f aca="false">MIN(ROUNDDOWN(N($E78)*Paramètres!$C$16,0),Paramètres!$D$16)</f>
        <v>0</v>
      </c>
      <c r="G78" s="57" t="n">
        <f aca="false">MIN(ROUNDDOWN(N($E78)*Paramètres!$C$17,0),Paramètres!$D$17)</f>
        <v>0</v>
      </c>
      <c r="H78" s="57" t="n">
        <f aca="false">MIN(ROUNDDOWN(N($E78)*Paramètres!$C$18,0),Paramètres!$D$18)</f>
        <v>0</v>
      </c>
      <c r="I78" s="57" t="n">
        <f aca="false">N($E78)-(F78+G78+H78)</f>
        <v>0</v>
      </c>
      <c r="J78" s="58" t="n">
        <v>0</v>
      </c>
      <c r="K78" s="59" t="str">
        <f aca="false">IF(I78&lt;Paramètres!$C$11,"Cadre inférieur","Cadre supérieur")</f>
        <v>Cadre inférieur</v>
      </c>
      <c r="L78" s="57" t="n">
        <f aca="false">MIN(F78,MIN(N($E78)*Paramètres!$C$16,Paramètres!$D$16))+MIN(G78,MIN(N($E78)*Paramètres!$C$17,Paramètres!$D$17))+MIN(H78,MIN(N($E78)*Paramètres!$C$18,Paramètres!$D$18))</f>
        <v>0</v>
      </c>
      <c r="M78" s="57" t="n">
        <f aca="false">MIN(N($E78),Paramètres!$C$7)*Paramètres!$C$6</f>
        <v>0</v>
      </c>
      <c r="N78" s="57" t="n">
        <f aca="false">MIN(M78,I78*Paramètres!$C$8)</f>
        <v>0</v>
      </c>
      <c r="O78" s="57" t="n">
        <f aca="false">I78*IF(K78="Cadre supérieur",Paramètres!$C$10,Paramètres!$C$9)</f>
        <v>0</v>
      </c>
      <c r="P78" s="57" t="n">
        <f aca="false">MAX(0,ROUNDDOWN(N($E78)-L78-N78-O78,-2))</f>
        <v>0</v>
      </c>
      <c r="Q78" s="57" t="n">
        <f aca="false">SUMPRODUCT((P78&gt;Paramètres!$B$21:$B$27)*(P78-Paramètres!$B$21:$B$27)*Paramètres!$E$21:$E$27)</f>
        <v>0</v>
      </c>
      <c r="R78" s="57" t="n">
        <f aca="false">Q78*INDEX(Paramètres!$C$31:$C$38,MIN(MAX(INT(N(J78)),0),7)+1)</f>
        <v>0</v>
      </c>
      <c r="S78" s="60" t="n">
        <f aca="false">ROUND(Q78-R78,0)</f>
        <v>0</v>
      </c>
      <c r="T78" s="57" t="n">
        <f aca="false">ROUND(N($E78)*Paramètres!$C$13,0)</f>
        <v>0</v>
      </c>
      <c r="U78" s="57" t="n">
        <f aca="false">ROUND(MAX(0,N($E78)-(Q78-R78)-M78)*Paramètres!$C$12,0)</f>
        <v>0</v>
      </c>
      <c r="V78" s="60" t="n">
        <f aca="false">ROUND(N($E78)-M78-S78-U78,0)</f>
        <v>0</v>
      </c>
    </row>
    <row r="79" customFormat="false" ht="17.25" hidden="false" customHeight="true" outlineLevel="0" collapsed="false">
      <c r="B79" s="53" t="n">
        <v>68</v>
      </c>
      <c r="C79" s="54" t="s">
        <v>81</v>
      </c>
      <c r="D79" s="55" t="n">
        <v>45778</v>
      </c>
      <c r="E79" s="56" t="n">
        <f aca="false">'Juill-aout-sept 2026'!E77</f>
        <v>471355</v>
      </c>
      <c r="F79" s="57" t="n">
        <f aca="false">MIN(ROUNDDOWN(N($E79)*Paramètres!$C$16,0),Paramètres!$D$16)</f>
        <v>75000</v>
      </c>
      <c r="G79" s="57" t="n">
        <f aca="false">MIN(ROUNDDOWN(N($E79)*Paramètres!$C$17,0),Paramètres!$D$17)</f>
        <v>23567</v>
      </c>
      <c r="H79" s="57" t="n">
        <f aca="false">MIN(ROUNDDOWN(N($E79)*Paramètres!$C$18,0),Paramètres!$D$18)</f>
        <v>23567</v>
      </c>
      <c r="I79" s="57" t="n">
        <f aca="false">N($E79)-(F79+G79+H79)</f>
        <v>349221</v>
      </c>
      <c r="J79" s="58" t="n">
        <v>0</v>
      </c>
      <c r="K79" s="59" t="str">
        <f aca="false">IF(I79&lt;Paramètres!$C$11,"Cadre inférieur","Cadre supérieur")</f>
        <v>Cadre supérieur</v>
      </c>
      <c r="L79" s="57" t="n">
        <f aca="false">MIN(F79,MIN(N($E79)*Paramètres!$C$16,Paramètres!$D$16))+MIN(G79,MIN(N($E79)*Paramètres!$C$17,Paramètres!$D$17))+MIN(H79,MIN(N($E79)*Paramètres!$C$18,Paramètres!$D$18))</f>
        <v>122134</v>
      </c>
      <c r="M79" s="57" t="n">
        <f aca="false">MIN(N($E79),Paramètres!$C$7)*Paramètres!$C$6</f>
        <v>25924.525</v>
      </c>
      <c r="N79" s="57" t="n">
        <f aca="false">MIN(M79,I79*Paramètres!$C$8)</f>
        <v>25924.525</v>
      </c>
      <c r="O79" s="57" t="n">
        <f aca="false">I79*IF(K79="Cadre supérieur",Paramètres!$C$10,Paramètres!$C$9)</f>
        <v>69844.2</v>
      </c>
      <c r="P79" s="57" t="n">
        <f aca="false">MAX(0,ROUNDDOWN(N($E79)-L79-N79-O79,-2))</f>
        <v>253400</v>
      </c>
      <c r="Q79" s="57" t="n">
        <f aca="false">SUMPRODUCT((P79&gt;Paramètres!$B$21:$B$27)*(P79-Paramètres!$B$21:$B$27)*Paramètres!$E$21:$E$27)</f>
        <v>40280</v>
      </c>
      <c r="R79" s="57" t="n">
        <f aca="false">Q79*INDEX(Paramètres!$C$31:$C$38,MIN(MAX(INT(N(J79)),0),7)+1)</f>
        <v>0</v>
      </c>
      <c r="S79" s="60" t="n">
        <f aca="false">ROUND(Q79-R79,0)</f>
        <v>40280</v>
      </c>
      <c r="T79" s="57" t="n">
        <f aca="false">ROUND(N($E79)*Paramètres!$C$13,0)</f>
        <v>14141</v>
      </c>
      <c r="U79" s="57" t="n">
        <f aca="false">ROUND(MAX(0,N($E79)-(Q79-R79)-M79)*Paramètres!$C$12,0)</f>
        <v>4052</v>
      </c>
      <c r="V79" s="60" t="n">
        <f aca="false">ROUND(N($E79)-M79-S79-U79,0)</f>
        <v>401098</v>
      </c>
    </row>
    <row r="80" customFormat="false" ht="17.25" hidden="false" customHeight="true" outlineLevel="0" collapsed="false">
      <c r="B80" s="53" t="n">
        <v>69</v>
      </c>
      <c r="C80" s="54" t="s">
        <v>82</v>
      </c>
      <c r="D80" s="55" t="n">
        <v>46289</v>
      </c>
      <c r="E80" s="56" t="n">
        <f aca="false">'Juill-aout-sept 2026'!E78</f>
        <v>0</v>
      </c>
      <c r="F80" s="57" t="n">
        <f aca="false">MIN(ROUNDDOWN(N($E80)*Paramètres!$C$16,0),Paramètres!$D$16)</f>
        <v>0</v>
      </c>
      <c r="G80" s="57" t="n">
        <f aca="false">MIN(ROUNDDOWN(N($E80)*Paramètres!$C$17,0),Paramètres!$D$17)</f>
        <v>0</v>
      </c>
      <c r="H80" s="57" t="n">
        <f aca="false">MIN(ROUNDDOWN(N($E80)*Paramètres!$C$18,0),Paramètres!$D$18)</f>
        <v>0</v>
      </c>
      <c r="I80" s="57" t="n">
        <f aca="false">N($E80)-(F80+G80+H80)</f>
        <v>0</v>
      </c>
      <c r="J80" s="58" t="n">
        <v>0</v>
      </c>
      <c r="K80" s="59" t="str">
        <f aca="false">IF(I80&lt;Paramètres!$C$11,"Cadre inférieur","Cadre supérieur")</f>
        <v>Cadre inférieur</v>
      </c>
      <c r="L80" s="57" t="n">
        <f aca="false">MIN(F80,MIN(N($E80)*Paramètres!$C$16,Paramètres!$D$16))+MIN(G80,MIN(N($E80)*Paramètres!$C$17,Paramètres!$D$17))+MIN(H80,MIN(N($E80)*Paramètres!$C$18,Paramètres!$D$18))</f>
        <v>0</v>
      </c>
      <c r="M80" s="57" t="n">
        <f aca="false">MIN(N($E80),Paramètres!$C$7)*Paramètres!$C$6</f>
        <v>0</v>
      </c>
      <c r="N80" s="57" t="n">
        <f aca="false">MIN(M80,I80*Paramètres!$C$8)</f>
        <v>0</v>
      </c>
      <c r="O80" s="57" t="n">
        <f aca="false">I80*IF(K80="Cadre supérieur",Paramètres!$C$10,Paramètres!$C$9)</f>
        <v>0</v>
      </c>
      <c r="P80" s="57" t="n">
        <f aca="false">MAX(0,ROUNDDOWN(N($E80)-L80-N80-O80,-2))</f>
        <v>0</v>
      </c>
      <c r="Q80" s="57" t="n">
        <f aca="false">SUMPRODUCT((P80&gt;Paramètres!$B$21:$B$27)*(P80-Paramètres!$B$21:$B$27)*Paramètres!$E$21:$E$27)</f>
        <v>0</v>
      </c>
      <c r="R80" s="57" t="n">
        <f aca="false">Q80*INDEX(Paramètres!$C$31:$C$38,MIN(MAX(INT(N(J80)),0),7)+1)</f>
        <v>0</v>
      </c>
      <c r="S80" s="60" t="n">
        <f aca="false">ROUND(Q80-R80,0)</f>
        <v>0</v>
      </c>
      <c r="T80" s="57" t="n">
        <f aca="false">ROUND(N($E80)*Paramètres!$C$13,0)</f>
        <v>0</v>
      </c>
      <c r="U80" s="57" t="n">
        <f aca="false">ROUND(MAX(0,N($E80)-(Q80-R80)-M80)*Paramètres!$C$12,0)</f>
        <v>0</v>
      </c>
      <c r="V80" s="60" t="n">
        <f aca="false">ROUND(N($E80)-M80-S80-U80,0)</f>
        <v>0</v>
      </c>
    </row>
    <row r="81" customFormat="false" ht="17.25" hidden="false" customHeight="true" outlineLevel="0" collapsed="false">
      <c r="B81" s="53" t="n">
        <v>70</v>
      </c>
      <c r="C81" s="54" t="s">
        <v>83</v>
      </c>
      <c r="D81" s="55" t="n">
        <v>46023</v>
      </c>
      <c r="E81" s="56" t="n">
        <f aca="false">'Juill-aout-sept 2026'!E79</f>
        <v>213566</v>
      </c>
      <c r="F81" s="57" t="n">
        <f aca="false">MIN(ROUNDDOWN(N($E81)*Paramètres!$C$16,0),Paramètres!$D$16)</f>
        <v>42713</v>
      </c>
      <c r="G81" s="57" t="n">
        <f aca="false">MIN(ROUNDDOWN(N($E81)*Paramètres!$C$17,0),Paramètres!$D$17)</f>
        <v>10678</v>
      </c>
      <c r="H81" s="57" t="n">
        <f aca="false">MIN(ROUNDDOWN(N($E81)*Paramètres!$C$18,0),Paramètres!$D$18)</f>
        <v>10678</v>
      </c>
      <c r="I81" s="57" t="n">
        <f aca="false">N($E81)-(F81+G81+H81)</f>
        <v>149497</v>
      </c>
      <c r="J81" s="58" t="n">
        <v>0</v>
      </c>
      <c r="K81" s="59" t="str">
        <f aca="false">IF(I81&lt;Paramètres!$C$11,"Cadre inférieur","Cadre supérieur")</f>
        <v>Cadre inférieur</v>
      </c>
      <c r="L81" s="57" t="n">
        <f aca="false">MIN(F81,MIN(N($E81)*Paramètres!$C$16,Paramètres!$D$16))+MIN(G81,MIN(N($E81)*Paramètres!$C$17,Paramètres!$D$17))+MIN(H81,MIN(N($E81)*Paramètres!$C$18,Paramètres!$D$18))</f>
        <v>64069</v>
      </c>
      <c r="M81" s="57" t="n">
        <f aca="false">MIN(N($E81),Paramètres!$C$7)*Paramètres!$C$6</f>
        <v>11746.13</v>
      </c>
      <c r="N81" s="57" t="n">
        <f aca="false">MIN(M81,I81*Paramètres!$C$8)</f>
        <v>11746.13</v>
      </c>
      <c r="O81" s="57" t="n">
        <f aca="false">I81*IF(K81="Cadre supérieur",Paramètres!$C$10,Paramètres!$C$9)</f>
        <v>37374.25</v>
      </c>
      <c r="P81" s="57" t="n">
        <f aca="false">MAX(0,ROUNDDOWN(N($E81)-L81-N81-O81,-2))</f>
        <v>100300</v>
      </c>
      <c r="Q81" s="57" t="n">
        <f aca="false">SUMPRODUCT((P81&gt;Paramètres!$B$21:$B$27)*(P81-Paramètres!$B$21:$B$27)*Paramètres!$E$21:$E$27)</f>
        <v>9777.1</v>
      </c>
      <c r="R81" s="57" t="n">
        <f aca="false">Q81*INDEX(Paramètres!$C$31:$C$38,MIN(MAX(INT(N(J81)),0),7)+1)</f>
        <v>0</v>
      </c>
      <c r="S81" s="60" t="n">
        <f aca="false">ROUND(Q81-R81,0)</f>
        <v>9777</v>
      </c>
      <c r="T81" s="57" t="n">
        <f aca="false">ROUND(N($E81)*Paramètres!$C$13,0)</f>
        <v>6407</v>
      </c>
      <c r="U81" s="57" t="n">
        <f aca="false">ROUND(MAX(0,N($E81)-(Q81-R81)-M81)*Paramètres!$C$12,0)</f>
        <v>1920</v>
      </c>
      <c r="V81" s="60" t="n">
        <f aca="false">ROUND(N($E81)-M81-S81-U81,0)</f>
        <v>190123</v>
      </c>
    </row>
    <row r="82" customFormat="false" ht="17.25" hidden="false" customHeight="true" outlineLevel="0" collapsed="false">
      <c r="B82" s="53" t="n">
        <v>71</v>
      </c>
      <c r="C82" s="54" t="s">
        <v>84</v>
      </c>
      <c r="D82" s="55" t="n">
        <v>46235</v>
      </c>
      <c r="E82" s="56" t="n">
        <f aca="false">'Juill-aout-sept 2026'!E80</f>
        <v>0</v>
      </c>
      <c r="F82" s="57" t="n">
        <f aca="false">MIN(ROUNDDOWN(N($E82)*Paramètres!$C$16,0),Paramètres!$D$16)</f>
        <v>0</v>
      </c>
      <c r="G82" s="57" t="n">
        <f aca="false">MIN(ROUNDDOWN(N($E82)*Paramètres!$C$17,0),Paramètres!$D$17)</f>
        <v>0</v>
      </c>
      <c r="H82" s="57" t="n">
        <f aca="false">MIN(ROUNDDOWN(N($E82)*Paramètres!$C$18,0),Paramètres!$D$18)</f>
        <v>0</v>
      </c>
      <c r="I82" s="57" t="n">
        <f aca="false">N($E82)-(F82+G82+H82)</f>
        <v>0</v>
      </c>
      <c r="J82" s="58" t="n">
        <v>0</v>
      </c>
      <c r="K82" s="59" t="str">
        <f aca="false">IF(I82&lt;Paramètres!$C$11,"Cadre inférieur","Cadre supérieur")</f>
        <v>Cadre inférieur</v>
      </c>
      <c r="L82" s="57" t="n">
        <f aca="false">MIN(F82,MIN(N($E82)*Paramètres!$C$16,Paramètres!$D$16))+MIN(G82,MIN(N($E82)*Paramètres!$C$17,Paramètres!$D$17))+MIN(H82,MIN(N($E82)*Paramètres!$C$18,Paramètres!$D$18))</f>
        <v>0</v>
      </c>
      <c r="M82" s="57" t="n">
        <f aca="false">MIN(N($E82),Paramètres!$C$7)*Paramètres!$C$6</f>
        <v>0</v>
      </c>
      <c r="N82" s="57" t="n">
        <f aca="false">MIN(M82,I82*Paramètres!$C$8)</f>
        <v>0</v>
      </c>
      <c r="O82" s="57" t="n">
        <f aca="false">I82*IF(K82="Cadre supérieur",Paramètres!$C$10,Paramètres!$C$9)</f>
        <v>0</v>
      </c>
      <c r="P82" s="57" t="n">
        <f aca="false">MAX(0,ROUNDDOWN(N($E82)-L82-N82-O82,-2))</f>
        <v>0</v>
      </c>
      <c r="Q82" s="57" t="n">
        <f aca="false">SUMPRODUCT((P82&gt;Paramètres!$B$21:$B$27)*(P82-Paramètres!$B$21:$B$27)*Paramètres!$E$21:$E$27)</f>
        <v>0</v>
      </c>
      <c r="R82" s="57" t="n">
        <f aca="false">Q82*INDEX(Paramètres!$C$31:$C$38,MIN(MAX(INT(N(J82)),0),7)+1)</f>
        <v>0</v>
      </c>
      <c r="S82" s="60" t="n">
        <f aca="false">ROUND(Q82-R82,0)</f>
        <v>0</v>
      </c>
      <c r="T82" s="57" t="n">
        <f aca="false">ROUND(N($E82)*Paramètres!$C$13,0)</f>
        <v>0</v>
      </c>
      <c r="U82" s="57" t="n">
        <f aca="false">ROUND(MAX(0,N($E82)-(Q82-R82)-M82)*Paramètres!$C$12,0)</f>
        <v>0</v>
      </c>
      <c r="V82" s="60" t="n">
        <f aca="false">ROUND(N($E82)-M82-S82-U82,0)</f>
        <v>0</v>
      </c>
    </row>
    <row r="83" customFormat="false" ht="17.25" hidden="false" customHeight="true" outlineLevel="0" collapsed="false">
      <c r="B83" s="53" t="n">
        <v>72</v>
      </c>
      <c r="C83" s="54" t="s">
        <v>85</v>
      </c>
      <c r="D83" s="55" t="n">
        <v>46183</v>
      </c>
      <c r="E83" s="56" t="n">
        <f aca="false">'Juill-aout-sept 2026'!E81</f>
        <v>80000</v>
      </c>
      <c r="F83" s="57" t="n">
        <f aca="false">MIN(ROUNDDOWN(N($E83)*Paramètres!$C$16,0),Paramètres!$D$16)</f>
        <v>16000</v>
      </c>
      <c r="G83" s="57" t="n">
        <f aca="false">MIN(ROUNDDOWN(N($E83)*Paramètres!$C$17,0),Paramètres!$D$17)</f>
        <v>4000</v>
      </c>
      <c r="H83" s="57" t="n">
        <f aca="false">MIN(ROUNDDOWN(N($E83)*Paramètres!$C$18,0),Paramètres!$D$18)</f>
        <v>4000</v>
      </c>
      <c r="I83" s="57" t="n">
        <f aca="false">N($E83)-(F83+G83+H83)</f>
        <v>56000</v>
      </c>
      <c r="J83" s="58" t="n">
        <v>0</v>
      </c>
      <c r="K83" s="59" t="str">
        <f aca="false">IF(I83&lt;Paramètres!$C$11,"Cadre inférieur","Cadre supérieur")</f>
        <v>Cadre inférieur</v>
      </c>
      <c r="L83" s="57" t="n">
        <f aca="false">MIN(F83,MIN(N($E83)*Paramètres!$C$16,Paramètres!$D$16))+MIN(G83,MIN(N($E83)*Paramètres!$C$17,Paramètres!$D$17))+MIN(H83,MIN(N($E83)*Paramètres!$C$18,Paramètres!$D$18))</f>
        <v>24000</v>
      </c>
      <c r="M83" s="57" t="n">
        <f aca="false">MIN(N($E83),Paramètres!$C$7)*Paramètres!$C$6</f>
        <v>4400</v>
      </c>
      <c r="N83" s="57" t="n">
        <f aca="false">MIN(M83,I83*Paramètres!$C$8)</f>
        <v>4400</v>
      </c>
      <c r="O83" s="57" t="n">
        <f aca="false">I83*IF(K83="Cadre supérieur",Paramètres!$C$10,Paramètres!$C$9)</f>
        <v>14000</v>
      </c>
      <c r="P83" s="57" t="n">
        <f aca="false">MAX(0,ROUNDDOWN(N($E83)-L83-N83-O83,-2))</f>
        <v>37600</v>
      </c>
      <c r="Q83" s="57" t="n">
        <f aca="false">SUMPRODUCT((P83&gt;Paramètres!$B$21:$B$27)*(P83-Paramètres!$B$21:$B$27)*Paramètres!$E$21:$E$27)</f>
        <v>919.6</v>
      </c>
      <c r="R83" s="57" t="n">
        <f aca="false">Q83*INDEX(Paramètres!$C$31:$C$38,MIN(MAX(INT(N(J83)),0),7)+1)</f>
        <v>0</v>
      </c>
      <c r="S83" s="60" t="n">
        <f aca="false">ROUND(Q83-R83,0)</f>
        <v>920</v>
      </c>
      <c r="T83" s="57" t="n">
        <f aca="false">ROUND(N($E83)*Paramètres!$C$13,0)</f>
        <v>2400</v>
      </c>
      <c r="U83" s="57" t="n">
        <f aca="false">ROUND(MAX(0,N($E83)-(Q83-R83)-M83)*Paramètres!$C$12,0)</f>
        <v>747</v>
      </c>
      <c r="V83" s="60" t="n">
        <f aca="false">ROUND(N($E83)-M83-S83-U83,0)</f>
        <v>73933</v>
      </c>
    </row>
    <row r="84" customFormat="false" ht="17.25" hidden="false" customHeight="true" outlineLevel="0" collapsed="false">
      <c r="B84" s="53" t="n">
        <v>73</v>
      </c>
      <c r="C84" s="54" t="s">
        <v>86</v>
      </c>
      <c r="D84" s="55" t="n">
        <v>46244</v>
      </c>
      <c r="E84" s="56" t="n">
        <f aca="false">'Juill-aout-sept 2026'!E82</f>
        <v>250000</v>
      </c>
      <c r="F84" s="57" t="n">
        <f aca="false">MIN(ROUNDDOWN(N($E84)*Paramètres!$C$16,0),Paramètres!$D$16)</f>
        <v>50000</v>
      </c>
      <c r="G84" s="57" t="n">
        <f aca="false">MIN(ROUNDDOWN(N($E84)*Paramètres!$C$17,0),Paramètres!$D$17)</f>
        <v>12500</v>
      </c>
      <c r="H84" s="57" t="n">
        <f aca="false">MIN(ROUNDDOWN(N($E84)*Paramètres!$C$18,0),Paramètres!$D$18)</f>
        <v>12500</v>
      </c>
      <c r="I84" s="57" t="n">
        <f aca="false">N($E84)-(F84+G84+H84)</f>
        <v>175000</v>
      </c>
      <c r="J84" s="58" t="n">
        <v>0</v>
      </c>
      <c r="K84" s="59" t="str">
        <f aca="false">IF(I84&lt;Paramètres!$C$11,"Cadre inférieur","Cadre supérieur")</f>
        <v>Cadre supérieur</v>
      </c>
      <c r="L84" s="57" t="n">
        <f aca="false">MIN(F84,MIN(N($E84)*Paramètres!$C$16,Paramètres!$D$16))+MIN(G84,MIN(N($E84)*Paramètres!$C$17,Paramètres!$D$17))+MIN(H84,MIN(N($E84)*Paramètres!$C$18,Paramètres!$D$18))</f>
        <v>75000</v>
      </c>
      <c r="M84" s="57" t="n">
        <f aca="false">MIN(N($E84),Paramètres!$C$7)*Paramètres!$C$6</f>
        <v>13750</v>
      </c>
      <c r="N84" s="57" t="n">
        <f aca="false">MIN(M84,I84*Paramètres!$C$8)</f>
        <v>13750</v>
      </c>
      <c r="O84" s="57" t="n">
        <f aca="false">I84*IF(K84="Cadre supérieur",Paramètres!$C$10,Paramètres!$C$9)</f>
        <v>35000</v>
      </c>
      <c r="P84" s="57" t="n">
        <f aca="false">MAX(0,ROUNDDOWN(N($E84)-L84-N84-O84,-2))</f>
        <v>126200</v>
      </c>
      <c r="Q84" s="57" t="n">
        <f aca="false">SUMPRODUCT((P84&gt;Paramètres!$B$21:$B$27)*(P84-Paramètres!$B$21:$B$27)*Paramètres!$E$21:$E$27)</f>
        <v>14010.8</v>
      </c>
      <c r="R84" s="57" t="n">
        <f aca="false">Q84*INDEX(Paramètres!$C$31:$C$38,MIN(MAX(INT(N(J84)),0),7)+1)</f>
        <v>0</v>
      </c>
      <c r="S84" s="60" t="n">
        <f aca="false">ROUND(Q84-R84,0)</f>
        <v>14011</v>
      </c>
      <c r="T84" s="57" t="n">
        <f aca="false">ROUND(N($E84)*Paramètres!$C$13,0)</f>
        <v>7500</v>
      </c>
      <c r="U84" s="57" t="n">
        <f aca="false">ROUND(MAX(0,N($E84)-(Q84-R84)-M84)*Paramètres!$C$12,0)</f>
        <v>2222</v>
      </c>
      <c r="V84" s="60" t="n">
        <f aca="false">ROUND(N($E84)-M84-S84-U84,0)</f>
        <v>220017</v>
      </c>
    </row>
    <row r="85" customFormat="false" ht="17.25" hidden="false" customHeight="true" outlineLevel="0" collapsed="false">
      <c r="B85" s="53" t="n">
        <v>74</v>
      </c>
      <c r="C85" s="54" t="s">
        <v>87</v>
      </c>
      <c r="D85" s="55" t="n">
        <v>46235</v>
      </c>
      <c r="E85" s="56" t="n">
        <f aca="false">'Juill-aout-sept 2026'!E83</f>
        <v>0</v>
      </c>
      <c r="F85" s="57" t="n">
        <f aca="false">MIN(ROUNDDOWN(N($E85)*Paramètres!$C$16,0),Paramètres!$D$16)</f>
        <v>0</v>
      </c>
      <c r="G85" s="57" t="n">
        <f aca="false">MIN(ROUNDDOWN(N($E85)*Paramètres!$C$17,0),Paramètres!$D$17)</f>
        <v>0</v>
      </c>
      <c r="H85" s="57" t="n">
        <f aca="false">MIN(ROUNDDOWN(N($E85)*Paramètres!$C$18,0),Paramètres!$D$18)</f>
        <v>0</v>
      </c>
      <c r="I85" s="57" t="n">
        <f aca="false">N($E85)-(F85+G85+H85)</f>
        <v>0</v>
      </c>
      <c r="J85" s="58" t="n">
        <v>0</v>
      </c>
      <c r="K85" s="59" t="str">
        <f aca="false">IF(I85&lt;Paramètres!$C$11,"Cadre inférieur","Cadre supérieur")</f>
        <v>Cadre inférieur</v>
      </c>
      <c r="L85" s="57" t="n">
        <f aca="false">MIN(F85,MIN(N($E85)*Paramètres!$C$16,Paramètres!$D$16))+MIN(G85,MIN(N($E85)*Paramètres!$C$17,Paramètres!$D$17))+MIN(H85,MIN(N($E85)*Paramètres!$C$18,Paramètres!$D$18))</f>
        <v>0</v>
      </c>
      <c r="M85" s="57" t="n">
        <f aca="false">MIN(N($E85),Paramètres!$C$7)*Paramètres!$C$6</f>
        <v>0</v>
      </c>
      <c r="N85" s="57" t="n">
        <f aca="false">MIN(M85,I85*Paramètres!$C$8)</f>
        <v>0</v>
      </c>
      <c r="O85" s="57" t="n">
        <f aca="false">I85*IF(K85="Cadre supérieur",Paramètres!$C$10,Paramètres!$C$9)</f>
        <v>0</v>
      </c>
      <c r="P85" s="57" t="n">
        <f aca="false">MAX(0,ROUNDDOWN(N($E85)-L85-N85-O85,-2))</f>
        <v>0</v>
      </c>
      <c r="Q85" s="57" t="n">
        <f aca="false">SUMPRODUCT((P85&gt;Paramètres!$B$21:$B$27)*(P85-Paramètres!$B$21:$B$27)*Paramètres!$E$21:$E$27)</f>
        <v>0</v>
      </c>
      <c r="R85" s="57" t="n">
        <f aca="false">Q85*INDEX(Paramètres!$C$31:$C$38,MIN(MAX(INT(N(J85)),0),7)+1)</f>
        <v>0</v>
      </c>
      <c r="S85" s="60" t="n">
        <f aca="false">ROUND(Q85-R85,0)</f>
        <v>0</v>
      </c>
      <c r="T85" s="57" t="n">
        <f aca="false">ROUND(N($E85)*Paramètres!$C$13,0)</f>
        <v>0</v>
      </c>
      <c r="U85" s="57" t="n">
        <f aca="false">ROUND(MAX(0,N($E85)-(Q85-R85)-M85)*Paramètres!$C$12,0)</f>
        <v>0</v>
      </c>
      <c r="V85" s="60" t="n">
        <f aca="false">ROUND(N($E85)-M85-S85-U85,0)</f>
        <v>0</v>
      </c>
    </row>
    <row r="86" customFormat="false" ht="17.25" hidden="false" customHeight="true" outlineLevel="0" collapsed="false">
      <c r="B86" s="53" t="n">
        <v>75</v>
      </c>
      <c r="C86" s="54" t="s">
        <v>88</v>
      </c>
      <c r="D86" s="55" t="n">
        <v>46174</v>
      </c>
      <c r="E86" s="56" t="n">
        <f aca="false">'Juill-aout-sept 2026'!E84</f>
        <v>177387</v>
      </c>
      <c r="F86" s="57" t="n">
        <f aca="false">MIN(ROUNDDOWN(N($E86)*Paramètres!$C$16,0),Paramètres!$D$16)</f>
        <v>35477</v>
      </c>
      <c r="G86" s="57" t="n">
        <f aca="false">MIN(ROUNDDOWN(N($E86)*Paramètres!$C$17,0),Paramètres!$D$17)</f>
        <v>8869</v>
      </c>
      <c r="H86" s="57" t="n">
        <f aca="false">MIN(ROUNDDOWN(N($E86)*Paramètres!$C$18,0),Paramètres!$D$18)</f>
        <v>8869</v>
      </c>
      <c r="I86" s="57" t="n">
        <f aca="false">N($E86)-(F86+G86+H86)</f>
        <v>124172</v>
      </c>
      <c r="J86" s="58" t="n">
        <v>0</v>
      </c>
      <c r="K86" s="59" t="str">
        <f aca="false">IF(I86&lt;Paramètres!$C$11,"Cadre inférieur","Cadre supérieur")</f>
        <v>Cadre inférieur</v>
      </c>
      <c r="L86" s="57" t="n">
        <f aca="false">MIN(F86,MIN(N($E86)*Paramètres!$C$16,Paramètres!$D$16))+MIN(G86,MIN(N($E86)*Paramètres!$C$17,Paramètres!$D$17))+MIN(H86,MIN(N($E86)*Paramètres!$C$18,Paramètres!$D$18))</f>
        <v>53215</v>
      </c>
      <c r="M86" s="57" t="n">
        <f aca="false">MIN(N($E86),Paramètres!$C$7)*Paramètres!$C$6</f>
        <v>9756.285</v>
      </c>
      <c r="N86" s="57" t="n">
        <f aca="false">MIN(M86,I86*Paramètres!$C$8)</f>
        <v>9756.285</v>
      </c>
      <c r="O86" s="57" t="n">
        <f aca="false">I86*IF(K86="Cadre supérieur",Paramètres!$C$10,Paramètres!$C$9)</f>
        <v>31043</v>
      </c>
      <c r="P86" s="57" t="n">
        <f aca="false">MAX(0,ROUNDDOWN(N($E86)-L86-N86-O86,-2))</f>
        <v>83300</v>
      </c>
      <c r="Q86" s="57" t="n">
        <f aca="false">SUMPRODUCT((P86&gt;Paramètres!$B$21:$B$27)*(P86-Paramètres!$B$21:$B$27)*Paramètres!$E$21:$E$27)</f>
        <v>7108.1</v>
      </c>
      <c r="R86" s="57" t="n">
        <f aca="false">Q86*INDEX(Paramètres!$C$31:$C$38,MIN(MAX(INT(N(J86)),0),7)+1)</f>
        <v>0</v>
      </c>
      <c r="S86" s="60" t="n">
        <f aca="false">ROUND(Q86-R86,0)</f>
        <v>7108</v>
      </c>
      <c r="T86" s="57" t="n">
        <f aca="false">ROUND(N($E86)*Paramètres!$C$13,0)</f>
        <v>5322</v>
      </c>
      <c r="U86" s="57" t="n">
        <f aca="false">ROUND(MAX(0,N($E86)-(Q86-R86)-M86)*Paramètres!$C$12,0)</f>
        <v>1605</v>
      </c>
      <c r="V86" s="60" t="n">
        <f aca="false">ROUND(N($E86)-M86-S86-U86,0)</f>
        <v>158918</v>
      </c>
    </row>
    <row r="87" customFormat="false" ht="17.25" hidden="false" customHeight="true" outlineLevel="0" collapsed="false">
      <c r="B87" s="53" t="n">
        <v>76</v>
      </c>
      <c r="C87" s="54" t="s">
        <v>89</v>
      </c>
      <c r="D87" s="55" t="n">
        <v>46249</v>
      </c>
      <c r="E87" s="56" t="n">
        <f aca="false">'Juill-aout-sept 2026'!E85</f>
        <v>0</v>
      </c>
      <c r="F87" s="57" t="n">
        <f aca="false">MIN(ROUNDDOWN(N($E87)*Paramètres!$C$16,0),Paramètres!$D$16)</f>
        <v>0</v>
      </c>
      <c r="G87" s="57" t="n">
        <f aca="false">MIN(ROUNDDOWN(N($E87)*Paramètres!$C$17,0),Paramètres!$D$17)</f>
        <v>0</v>
      </c>
      <c r="H87" s="57" t="n">
        <f aca="false">MIN(ROUNDDOWN(N($E87)*Paramètres!$C$18,0),Paramètres!$D$18)</f>
        <v>0</v>
      </c>
      <c r="I87" s="57" t="n">
        <f aca="false">N($E87)-(F87+G87+H87)</f>
        <v>0</v>
      </c>
      <c r="J87" s="58" t="n">
        <v>0</v>
      </c>
      <c r="K87" s="59" t="str">
        <f aca="false">IF(I87&lt;Paramètres!$C$11,"Cadre inférieur","Cadre supérieur")</f>
        <v>Cadre inférieur</v>
      </c>
      <c r="L87" s="57" t="n">
        <f aca="false">MIN(F87,MIN(N($E87)*Paramètres!$C$16,Paramètres!$D$16))+MIN(G87,MIN(N($E87)*Paramètres!$C$17,Paramètres!$D$17))+MIN(H87,MIN(N($E87)*Paramètres!$C$18,Paramètres!$D$18))</f>
        <v>0</v>
      </c>
      <c r="M87" s="57" t="n">
        <f aca="false">MIN(N($E87),Paramètres!$C$7)*Paramètres!$C$6</f>
        <v>0</v>
      </c>
      <c r="N87" s="57" t="n">
        <f aca="false">MIN(M87,I87*Paramètres!$C$8)</f>
        <v>0</v>
      </c>
      <c r="O87" s="57" t="n">
        <f aca="false">I87*IF(K87="Cadre supérieur",Paramètres!$C$10,Paramètres!$C$9)</f>
        <v>0</v>
      </c>
      <c r="P87" s="57" t="n">
        <f aca="false">MAX(0,ROUNDDOWN(N($E87)-L87-N87-O87,-2))</f>
        <v>0</v>
      </c>
      <c r="Q87" s="57" t="n">
        <f aca="false">SUMPRODUCT((P87&gt;Paramètres!$B$21:$B$27)*(P87-Paramètres!$B$21:$B$27)*Paramètres!$E$21:$E$27)</f>
        <v>0</v>
      </c>
      <c r="R87" s="57" t="n">
        <f aca="false">Q87*INDEX(Paramètres!$C$31:$C$38,MIN(MAX(INT(N(J87)),0),7)+1)</f>
        <v>0</v>
      </c>
      <c r="S87" s="60" t="n">
        <f aca="false">ROUND(Q87-R87,0)</f>
        <v>0</v>
      </c>
      <c r="T87" s="57" t="n">
        <f aca="false">ROUND(N($E87)*Paramètres!$C$13,0)</f>
        <v>0</v>
      </c>
      <c r="U87" s="57" t="n">
        <f aca="false">ROUND(MAX(0,N($E87)-(Q87-R87)-M87)*Paramètres!$C$12,0)</f>
        <v>0</v>
      </c>
      <c r="V87" s="60" t="n">
        <f aca="false">ROUND(N($E87)-M87-S87-U87,0)</f>
        <v>0</v>
      </c>
    </row>
    <row r="88" customFormat="false" ht="17.25" hidden="false" customHeight="true" outlineLevel="0" collapsed="false">
      <c r="B88" s="53" t="n">
        <v>77</v>
      </c>
      <c r="C88" s="54" t="s">
        <v>90</v>
      </c>
      <c r="D88" s="55" t="n">
        <v>46296</v>
      </c>
      <c r="E88" s="56" t="n">
        <f aca="false">'Juill-aout-sept 2026'!E86</f>
        <v>0</v>
      </c>
      <c r="F88" s="57" t="n">
        <f aca="false">MIN(ROUNDDOWN(N($E88)*Paramètres!$C$16,0),Paramètres!$D$16)</f>
        <v>0</v>
      </c>
      <c r="G88" s="57" t="n">
        <f aca="false">MIN(ROUNDDOWN(N($E88)*Paramètres!$C$17,0),Paramètres!$D$17)</f>
        <v>0</v>
      </c>
      <c r="H88" s="57" t="n">
        <f aca="false">MIN(ROUNDDOWN(N($E88)*Paramètres!$C$18,0),Paramètres!$D$18)</f>
        <v>0</v>
      </c>
      <c r="I88" s="57" t="n">
        <f aca="false">N($E88)-(F88+G88+H88)</f>
        <v>0</v>
      </c>
      <c r="J88" s="58" t="n">
        <v>0</v>
      </c>
      <c r="K88" s="59" t="str">
        <f aca="false">IF(I88&lt;Paramètres!$C$11,"Cadre inférieur","Cadre supérieur")</f>
        <v>Cadre inférieur</v>
      </c>
      <c r="L88" s="57" t="n">
        <f aca="false">MIN(F88,MIN(N($E88)*Paramètres!$C$16,Paramètres!$D$16))+MIN(G88,MIN(N($E88)*Paramètres!$C$17,Paramètres!$D$17))+MIN(H88,MIN(N($E88)*Paramètres!$C$18,Paramètres!$D$18))</f>
        <v>0</v>
      </c>
      <c r="M88" s="57" t="n">
        <f aca="false">MIN(N($E88),Paramètres!$C$7)*Paramètres!$C$6</f>
        <v>0</v>
      </c>
      <c r="N88" s="57" t="n">
        <f aca="false">MIN(M88,I88*Paramètres!$C$8)</f>
        <v>0</v>
      </c>
      <c r="O88" s="57" t="n">
        <f aca="false">I88*IF(K88="Cadre supérieur",Paramètres!$C$10,Paramètres!$C$9)</f>
        <v>0</v>
      </c>
      <c r="P88" s="57" t="n">
        <f aca="false">MAX(0,ROUNDDOWN(N($E88)-L88-N88-O88,-2))</f>
        <v>0</v>
      </c>
      <c r="Q88" s="57" t="n">
        <f aca="false">SUMPRODUCT((P88&gt;Paramètres!$B$21:$B$27)*(P88-Paramètres!$B$21:$B$27)*Paramètres!$E$21:$E$27)</f>
        <v>0</v>
      </c>
      <c r="R88" s="57" t="n">
        <f aca="false">Q88*INDEX(Paramètres!$C$31:$C$38,MIN(MAX(INT(N(J88)),0),7)+1)</f>
        <v>0</v>
      </c>
      <c r="S88" s="60" t="n">
        <f aca="false">ROUND(Q88-R88,0)</f>
        <v>0</v>
      </c>
      <c r="T88" s="57" t="n">
        <f aca="false">ROUND(N($E88)*Paramètres!$C$13,0)</f>
        <v>0</v>
      </c>
      <c r="U88" s="57" t="n">
        <f aca="false">ROUND(MAX(0,N($E88)-(Q88-R88)-M88)*Paramètres!$C$12,0)</f>
        <v>0</v>
      </c>
      <c r="V88" s="60" t="n">
        <f aca="false">ROUND(N($E88)-M88-S88-U88,0)</f>
        <v>0</v>
      </c>
    </row>
    <row r="89" customFormat="false" ht="17.25" hidden="false" customHeight="true" outlineLevel="0" collapsed="false">
      <c r="B89" s="53" t="n">
        <v>78</v>
      </c>
      <c r="C89" s="54" t="s">
        <v>91</v>
      </c>
      <c r="D89" s="55" t="n">
        <v>45901</v>
      </c>
      <c r="E89" s="56" t="n">
        <f aca="false">'Juill-aout-sept 2026'!E87</f>
        <v>213566</v>
      </c>
      <c r="F89" s="57" t="n">
        <f aca="false">MIN(ROUNDDOWN(N($E89)*Paramètres!$C$16,0),Paramètres!$D$16)</f>
        <v>42713</v>
      </c>
      <c r="G89" s="57" t="n">
        <f aca="false">MIN(ROUNDDOWN(N($E89)*Paramètres!$C$17,0),Paramètres!$D$17)</f>
        <v>10678</v>
      </c>
      <c r="H89" s="57" t="n">
        <f aca="false">MIN(ROUNDDOWN(N($E89)*Paramètres!$C$18,0),Paramètres!$D$18)</f>
        <v>10678</v>
      </c>
      <c r="I89" s="57" t="n">
        <f aca="false">N($E89)-(F89+G89+H89)</f>
        <v>149497</v>
      </c>
      <c r="J89" s="58" t="n">
        <v>0</v>
      </c>
      <c r="K89" s="59" t="str">
        <f aca="false">IF(I89&lt;Paramètres!$C$11,"Cadre inférieur","Cadre supérieur")</f>
        <v>Cadre inférieur</v>
      </c>
      <c r="L89" s="57" t="n">
        <f aca="false">MIN(F89,MIN(N($E89)*Paramètres!$C$16,Paramètres!$D$16))+MIN(G89,MIN(N($E89)*Paramètres!$C$17,Paramètres!$D$17))+MIN(H89,MIN(N($E89)*Paramètres!$C$18,Paramètres!$D$18))</f>
        <v>64069</v>
      </c>
      <c r="M89" s="57" t="n">
        <f aca="false">MIN(N($E89),Paramètres!$C$7)*Paramètres!$C$6</f>
        <v>11746.13</v>
      </c>
      <c r="N89" s="57" t="n">
        <f aca="false">MIN(M89,I89*Paramètres!$C$8)</f>
        <v>11746.13</v>
      </c>
      <c r="O89" s="57" t="n">
        <f aca="false">I89*IF(K89="Cadre supérieur",Paramètres!$C$10,Paramètres!$C$9)</f>
        <v>37374.25</v>
      </c>
      <c r="P89" s="57" t="n">
        <f aca="false">MAX(0,ROUNDDOWN(N($E89)-L89-N89-O89,-2))</f>
        <v>100300</v>
      </c>
      <c r="Q89" s="57" t="n">
        <f aca="false">SUMPRODUCT((P89&gt;Paramètres!$B$21:$B$27)*(P89-Paramètres!$B$21:$B$27)*Paramètres!$E$21:$E$27)</f>
        <v>9777.1</v>
      </c>
      <c r="R89" s="57" t="n">
        <f aca="false">Q89*INDEX(Paramètres!$C$31:$C$38,MIN(MAX(INT(N(J89)),0),7)+1)</f>
        <v>0</v>
      </c>
      <c r="S89" s="60" t="n">
        <f aca="false">ROUND(Q89-R89,0)</f>
        <v>9777</v>
      </c>
      <c r="T89" s="57" t="n">
        <f aca="false">ROUND(N($E89)*Paramètres!$C$13,0)</f>
        <v>6407</v>
      </c>
      <c r="U89" s="57" t="n">
        <f aca="false">ROUND(MAX(0,N($E89)-(Q89-R89)-M89)*Paramètres!$C$12,0)</f>
        <v>1920</v>
      </c>
      <c r="V89" s="60" t="n">
        <f aca="false">ROUND(N($E89)-M89-S89-U89,0)</f>
        <v>190123</v>
      </c>
    </row>
    <row r="90" customFormat="false" ht="17.25" hidden="false" customHeight="true" outlineLevel="0" collapsed="false">
      <c r="B90" s="53"/>
      <c r="C90" s="54" t="s">
        <v>92</v>
      </c>
      <c r="D90" s="55"/>
      <c r="E90" s="56" t="n">
        <f aca="false">'Juill-aout-sept 2026'!E88</f>
        <v>135983</v>
      </c>
      <c r="F90" s="57" t="n">
        <f aca="false">MIN(ROUNDDOWN(N($E90)*Paramètres!$C$16,0),Paramètres!$D$16)</f>
        <v>27196</v>
      </c>
      <c r="G90" s="57" t="n">
        <f aca="false">MIN(ROUNDDOWN(N($E90)*Paramètres!$C$17,0),Paramètres!$D$17)</f>
        <v>6799</v>
      </c>
      <c r="H90" s="57" t="n">
        <f aca="false">MIN(ROUNDDOWN(N($E90)*Paramètres!$C$18,0),Paramètres!$D$18)</f>
        <v>6799</v>
      </c>
      <c r="I90" s="57" t="n">
        <f aca="false">N($E90)-(F90+G90+H90)</f>
        <v>95189</v>
      </c>
      <c r="J90" s="58" t="n">
        <v>0</v>
      </c>
      <c r="K90" s="59" t="str">
        <f aca="false">IF(I90&lt;Paramètres!$C$11,"Cadre inférieur","Cadre supérieur")</f>
        <v>Cadre inférieur</v>
      </c>
      <c r="L90" s="57" t="n">
        <f aca="false">MIN(F90,MIN(N($E90)*Paramètres!$C$16,Paramètres!$D$16))+MIN(G90,MIN(N($E90)*Paramètres!$C$17,Paramètres!$D$17))+MIN(H90,MIN(N($E90)*Paramètres!$C$18,Paramètres!$D$18))</f>
        <v>40794</v>
      </c>
      <c r="M90" s="57" t="n">
        <f aca="false">MIN(N($E90),Paramètres!$C$7)*Paramètres!$C$6</f>
        <v>7479.065</v>
      </c>
      <c r="N90" s="57" t="n">
        <f aca="false">MIN(M90,I90*Paramètres!$C$8)</f>
        <v>7479.065</v>
      </c>
      <c r="O90" s="57" t="n">
        <f aca="false">I90*IF(K90="Cadre supérieur",Paramètres!$C$10,Paramètres!$C$9)</f>
        <v>23797.25</v>
      </c>
      <c r="P90" s="57" t="n">
        <f aca="false">MAX(0,ROUNDDOWN(N($E90)-L90-N90-O90,-2))</f>
        <v>63900</v>
      </c>
      <c r="Q90" s="57" t="n">
        <f aca="false">SUMPRODUCT((P90&gt;Paramètres!$B$21:$B$27)*(P90-Paramètres!$B$21:$B$27)*Paramètres!$E$21:$E$27)</f>
        <v>4352.1</v>
      </c>
      <c r="R90" s="57" t="n">
        <f aca="false">Q90*INDEX(Paramètres!$C$31:$C$38,MIN(MAX(INT(N(J90)),0),7)+1)</f>
        <v>0</v>
      </c>
      <c r="S90" s="60" t="n">
        <f aca="false">ROUND(Q90-R90,0)</f>
        <v>4352</v>
      </c>
      <c r="T90" s="57" t="n">
        <f aca="false">ROUND(N($E90)*Paramètres!$C$13,0)</f>
        <v>4079</v>
      </c>
      <c r="U90" s="57" t="n">
        <f aca="false">ROUND(MAX(0,N($E90)-(Q90-R90)-M90)*Paramètres!$C$12,0)</f>
        <v>1242</v>
      </c>
      <c r="V90" s="60" t="n">
        <f aca="false">ROUND(N($E90)-M90-S90-U90,0)</f>
        <v>122910</v>
      </c>
    </row>
    <row r="91" customFormat="false" ht="17.25" hidden="false" customHeight="true" outlineLevel="0" collapsed="false">
      <c r="B91" s="53"/>
      <c r="C91" s="54" t="s">
        <v>93</v>
      </c>
      <c r="D91" s="55"/>
      <c r="E91" s="56" t="n">
        <f aca="false">'Juill-aout-sept 2026'!E89</f>
        <v>0</v>
      </c>
      <c r="F91" s="57" t="n">
        <f aca="false">MIN(ROUNDDOWN(N($E91)*Paramètres!$C$16,0),Paramètres!$D$16)</f>
        <v>0</v>
      </c>
      <c r="G91" s="57" t="n">
        <f aca="false">MIN(ROUNDDOWN(N($E91)*Paramètres!$C$17,0),Paramètres!$D$17)</f>
        <v>0</v>
      </c>
      <c r="H91" s="57" t="n">
        <f aca="false">MIN(ROUNDDOWN(N($E91)*Paramètres!$C$18,0),Paramètres!$D$18)</f>
        <v>0</v>
      </c>
      <c r="I91" s="57" t="n">
        <f aca="false">N($E91)-(F91+G91+H91)</f>
        <v>0</v>
      </c>
      <c r="J91" s="58" t="n">
        <v>0</v>
      </c>
      <c r="K91" s="59" t="str">
        <f aca="false">IF(I91&lt;Paramètres!$C$11,"Cadre inférieur","Cadre supérieur")</f>
        <v>Cadre inférieur</v>
      </c>
      <c r="L91" s="57" t="n">
        <f aca="false">MIN(F91,MIN(N($E91)*Paramètres!$C$16,Paramètres!$D$16))+MIN(G91,MIN(N($E91)*Paramètres!$C$17,Paramètres!$D$17))+MIN(H91,MIN(N($E91)*Paramètres!$C$18,Paramètres!$D$18))</f>
        <v>0</v>
      </c>
      <c r="M91" s="57" t="n">
        <f aca="false">MIN(N($E91),Paramètres!$C$7)*Paramètres!$C$6</f>
        <v>0</v>
      </c>
      <c r="N91" s="57" t="n">
        <f aca="false">MIN(M91,I91*Paramètres!$C$8)</f>
        <v>0</v>
      </c>
      <c r="O91" s="57" t="n">
        <f aca="false">I91*IF(K91="Cadre supérieur",Paramètres!$C$10,Paramètres!$C$9)</f>
        <v>0</v>
      </c>
      <c r="P91" s="57" t="n">
        <f aca="false">MAX(0,ROUNDDOWN(N($E91)-L91-N91-O91,-2))</f>
        <v>0</v>
      </c>
      <c r="Q91" s="57" t="n">
        <f aca="false">SUMPRODUCT((P91&gt;Paramètres!$B$21:$B$27)*(P91-Paramètres!$B$21:$B$27)*Paramètres!$E$21:$E$27)</f>
        <v>0</v>
      </c>
      <c r="R91" s="57" t="n">
        <f aca="false">Q91*INDEX(Paramètres!$C$31:$C$38,MIN(MAX(INT(N(J91)),0),7)+1)</f>
        <v>0</v>
      </c>
      <c r="S91" s="60" t="n">
        <f aca="false">ROUND(Q91-R91,0)</f>
        <v>0</v>
      </c>
      <c r="T91" s="57" t="n">
        <f aca="false">ROUND(N($E91)*Paramètres!$C$13,0)</f>
        <v>0</v>
      </c>
      <c r="U91" s="57" t="n">
        <f aca="false">ROUND(MAX(0,N($E91)-(Q91-R91)-M91)*Paramètres!$C$12,0)</f>
        <v>0</v>
      </c>
      <c r="V91" s="60" t="n">
        <f aca="false">ROUND(N($E91)-M91-S91-U91,0)</f>
        <v>0</v>
      </c>
    </row>
    <row r="92" customFormat="false" ht="17.25" hidden="false" customHeight="true" outlineLevel="0" collapsed="false">
      <c r="B92" s="53" t="n">
        <v>79</v>
      </c>
      <c r="C92" s="54" t="s">
        <v>94</v>
      </c>
      <c r="D92" s="55" t="n">
        <v>45778</v>
      </c>
      <c r="E92" s="56" t="n">
        <f aca="false">'Juill-aout-sept 2026'!E90</f>
        <v>231913</v>
      </c>
      <c r="F92" s="57" t="n">
        <f aca="false">MIN(ROUNDDOWN(N($E92)*Paramètres!$C$16,0),Paramètres!$D$16)</f>
        <v>46382</v>
      </c>
      <c r="G92" s="57" t="n">
        <f aca="false">MIN(ROUNDDOWN(N($E92)*Paramètres!$C$17,0),Paramètres!$D$17)</f>
        <v>11595</v>
      </c>
      <c r="H92" s="57" t="n">
        <f aca="false">MIN(ROUNDDOWN(N($E92)*Paramètres!$C$18,0),Paramètres!$D$18)</f>
        <v>11595</v>
      </c>
      <c r="I92" s="57" t="n">
        <f aca="false">N($E92)-(F92+G92+H92)</f>
        <v>162341</v>
      </c>
      <c r="J92" s="58" t="n">
        <v>0</v>
      </c>
      <c r="K92" s="59" t="str">
        <f aca="false">IF(I92&lt;Paramètres!$C$11,"Cadre inférieur","Cadre supérieur")</f>
        <v>Cadre supérieur</v>
      </c>
      <c r="L92" s="57" t="n">
        <f aca="false">MIN(F92,MIN(N($E92)*Paramètres!$C$16,Paramètres!$D$16))+MIN(G92,MIN(N($E92)*Paramètres!$C$17,Paramètres!$D$17))+MIN(H92,MIN(N($E92)*Paramètres!$C$18,Paramètres!$D$18))</f>
        <v>69572</v>
      </c>
      <c r="M92" s="57" t="n">
        <f aca="false">MIN(N($E92),Paramètres!$C$7)*Paramètres!$C$6</f>
        <v>12755.215</v>
      </c>
      <c r="N92" s="57" t="n">
        <f aca="false">MIN(M92,I92*Paramètres!$C$8)</f>
        <v>12755.215</v>
      </c>
      <c r="O92" s="57" t="n">
        <f aca="false">I92*IF(K92="Cadre supérieur",Paramètres!$C$10,Paramètres!$C$9)</f>
        <v>32468.2</v>
      </c>
      <c r="P92" s="57" t="n">
        <f aca="false">MAX(0,ROUNDDOWN(N($E92)-L92-N92-O92,-2))</f>
        <v>117100</v>
      </c>
      <c r="Q92" s="57" t="n">
        <f aca="false">SUMPRODUCT((P92&gt;Paramètres!$B$21:$B$27)*(P92-Paramètres!$B$21:$B$27)*Paramètres!$E$21:$E$27)</f>
        <v>12414.7</v>
      </c>
      <c r="R92" s="57" t="n">
        <f aca="false">Q92*INDEX(Paramètres!$C$31:$C$38,MIN(MAX(INT(N(J92)),0),7)+1)</f>
        <v>0</v>
      </c>
      <c r="S92" s="60" t="n">
        <f aca="false">ROUND(Q92-R92,0)</f>
        <v>12415</v>
      </c>
      <c r="T92" s="57" t="n">
        <f aca="false">ROUND(N($E92)*Paramètres!$C$13,0)</f>
        <v>6957</v>
      </c>
      <c r="U92" s="57" t="n">
        <f aca="false">ROUND(MAX(0,N($E92)-(Q92-R92)-M92)*Paramètres!$C$12,0)</f>
        <v>2067</v>
      </c>
      <c r="V92" s="60" t="n">
        <f aca="false">ROUND(N($E92)-M92-S92-U92,0)</f>
        <v>204676</v>
      </c>
    </row>
    <row r="93" customFormat="false" ht="17.25" hidden="false" customHeight="true" outlineLevel="0" collapsed="false">
      <c r="B93" s="53" t="n">
        <v>80</v>
      </c>
      <c r="C93" s="54" t="s">
        <v>95</v>
      </c>
      <c r="D93" s="55" t="n">
        <v>46061</v>
      </c>
      <c r="E93" s="56" t="n">
        <f aca="false">'Juill-aout-sept 2026'!E91</f>
        <v>177387</v>
      </c>
      <c r="F93" s="57" t="n">
        <f aca="false">MIN(ROUNDDOWN(N($E93)*Paramètres!$C$16,0),Paramètres!$D$16)</f>
        <v>35477</v>
      </c>
      <c r="G93" s="57" t="n">
        <f aca="false">MIN(ROUNDDOWN(N($E93)*Paramètres!$C$17,0),Paramètres!$D$17)</f>
        <v>8869</v>
      </c>
      <c r="H93" s="57" t="n">
        <f aca="false">MIN(ROUNDDOWN(N($E93)*Paramètres!$C$18,0),Paramètres!$D$18)</f>
        <v>8869</v>
      </c>
      <c r="I93" s="57" t="n">
        <f aca="false">N($E93)-(F93+G93+H93)</f>
        <v>124172</v>
      </c>
      <c r="J93" s="58" t="n">
        <v>0</v>
      </c>
      <c r="K93" s="59" t="str">
        <f aca="false">IF(I93&lt;Paramètres!$C$11,"Cadre inférieur","Cadre supérieur")</f>
        <v>Cadre inférieur</v>
      </c>
      <c r="L93" s="57" t="n">
        <f aca="false">MIN(F93,MIN(N($E93)*Paramètres!$C$16,Paramètres!$D$16))+MIN(G93,MIN(N($E93)*Paramètres!$C$17,Paramètres!$D$17))+MIN(H93,MIN(N($E93)*Paramètres!$C$18,Paramètres!$D$18))</f>
        <v>53215</v>
      </c>
      <c r="M93" s="57" t="n">
        <f aca="false">MIN(N($E93),Paramètres!$C$7)*Paramètres!$C$6</f>
        <v>9756.285</v>
      </c>
      <c r="N93" s="57" t="n">
        <f aca="false">MIN(M93,I93*Paramètres!$C$8)</f>
        <v>9756.285</v>
      </c>
      <c r="O93" s="57" t="n">
        <f aca="false">I93*IF(K93="Cadre supérieur",Paramètres!$C$10,Paramètres!$C$9)</f>
        <v>31043</v>
      </c>
      <c r="P93" s="57" t="n">
        <f aca="false">MAX(0,ROUNDDOWN(N($E93)-L93-N93-O93,-2))</f>
        <v>83300</v>
      </c>
      <c r="Q93" s="57" t="n">
        <f aca="false">SUMPRODUCT((P93&gt;Paramètres!$B$21:$B$27)*(P93-Paramètres!$B$21:$B$27)*Paramètres!$E$21:$E$27)</f>
        <v>7108.1</v>
      </c>
      <c r="R93" s="57" t="n">
        <f aca="false">Q93*INDEX(Paramètres!$C$31:$C$38,MIN(MAX(INT(N(J93)),0),7)+1)</f>
        <v>0</v>
      </c>
      <c r="S93" s="60" t="n">
        <f aca="false">ROUND(Q93-R93,0)</f>
        <v>7108</v>
      </c>
      <c r="T93" s="57" t="n">
        <f aca="false">ROUND(N($E93)*Paramètres!$C$13,0)</f>
        <v>5322</v>
      </c>
      <c r="U93" s="57" t="n">
        <f aca="false">ROUND(MAX(0,N($E93)-(Q93-R93)-M93)*Paramètres!$C$12,0)</f>
        <v>1605</v>
      </c>
      <c r="V93" s="60" t="n">
        <f aca="false">ROUND(N($E93)-M93-S93-U93,0)</f>
        <v>158918</v>
      </c>
    </row>
    <row r="94" customFormat="false" ht="17.25" hidden="false" customHeight="true" outlineLevel="0" collapsed="false">
      <c r="B94" s="53" t="n">
        <v>81</v>
      </c>
      <c r="C94" s="54" t="s">
        <v>96</v>
      </c>
      <c r="D94" s="55" t="n">
        <v>46220</v>
      </c>
      <c r="E94" s="56" t="n">
        <f aca="false">'Juill-aout-sept 2026'!E92</f>
        <v>195484</v>
      </c>
      <c r="F94" s="57" t="n">
        <f aca="false">MIN(ROUNDDOWN(N($E94)*Paramètres!$C$16,0),Paramètres!$D$16)</f>
        <v>39096</v>
      </c>
      <c r="G94" s="57" t="n">
        <f aca="false">MIN(ROUNDDOWN(N($E94)*Paramètres!$C$17,0),Paramètres!$D$17)</f>
        <v>9774</v>
      </c>
      <c r="H94" s="57" t="n">
        <f aca="false">MIN(ROUNDDOWN(N($E94)*Paramètres!$C$18,0),Paramètres!$D$18)</f>
        <v>9774</v>
      </c>
      <c r="I94" s="57" t="n">
        <f aca="false">N($E94)-(F94+G94+H94)</f>
        <v>136840</v>
      </c>
      <c r="J94" s="58" t="n">
        <v>0</v>
      </c>
      <c r="K94" s="59" t="str">
        <f aca="false">IF(I94&lt;Paramètres!$C$11,"Cadre inférieur","Cadre supérieur")</f>
        <v>Cadre inférieur</v>
      </c>
      <c r="L94" s="57" t="n">
        <f aca="false">MIN(F94,MIN(N($E94)*Paramètres!$C$16,Paramètres!$D$16))+MIN(G94,MIN(N($E94)*Paramètres!$C$17,Paramètres!$D$17))+MIN(H94,MIN(N($E94)*Paramètres!$C$18,Paramètres!$D$18))</f>
        <v>58644</v>
      </c>
      <c r="M94" s="57" t="n">
        <f aca="false">MIN(N($E94),Paramètres!$C$7)*Paramètres!$C$6</f>
        <v>10751.62</v>
      </c>
      <c r="N94" s="57" t="n">
        <f aca="false">MIN(M94,I94*Paramètres!$C$8)</f>
        <v>10751.62</v>
      </c>
      <c r="O94" s="57" t="n">
        <f aca="false">I94*IF(K94="Cadre supérieur",Paramètres!$C$10,Paramètres!$C$9)</f>
        <v>34210</v>
      </c>
      <c r="P94" s="57" t="n">
        <f aca="false">MAX(0,ROUNDDOWN(N($E94)-L94-N94-O94,-2))</f>
        <v>91800</v>
      </c>
      <c r="Q94" s="57" t="n">
        <f aca="false">SUMPRODUCT((P94&gt;Paramètres!$B$21:$B$27)*(P94-Paramètres!$B$21:$B$27)*Paramètres!$E$21:$E$27)</f>
        <v>8442.6</v>
      </c>
      <c r="R94" s="57" t="n">
        <f aca="false">Q94*INDEX(Paramètres!$C$31:$C$38,MIN(MAX(INT(N(J94)),0),7)+1)</f>
        <v>0</v>
      </c>
      <c r="S94" s="60" t="n">
        <f aca="false">ROUND(Q94-R94,0)</f>
        <v>8443</v>
      </c>
      <c r="T94" s="57" t="n">
        <f aca="false">ROUND(N($E94)*Paramètres!$C$13,0)</f>
        <v>5865</v>
      </c>
      <c r="U94" s="57" t="n">
        <f aca="false">ROUND(MAX(0,N($E94)-(Q94-R94)-M94)*Paramètres!$C$12,0)</f>
        <v>1763</v>
      </c>
      <c r="V94" s="60" t="n">
        <f aca="false">ROUND(N($E94)-M94-S94-U94,0)</f>
        <v>174526</v>
      </c>
    </row>
    <row r="95" customFormat="false" ht="17.25" hidden="false" customHeight="true" outlineLevel="0" collapsed="false">
      <c r="B95" s="53" t="n">
        <v>82</v>
      </c>
      <c r="C95" s="54" t="s">
        <v>97</v>
      </c>
      <c r="D95" s="55" t="n">
        <v>46174</v>
      </c>
      <c r="E95" s="56" t="n">
        <f aca="false">'Juill-aout-sept 2026'!E93</f>
        <v>0</v>
      </c>
      <c r="F95" s="57" t="n">
        <f aca="false">MIN(ROUNDDOWN(N($E95)*Paramètres!$C$16,0),Paramètres!$D$16)</f>
        <v>0</v>
      </c>
      <c r="G95" s="57" t="n">
        <f aca="false">MIN(ROUNDDOWN(N($E95)*Paramètres!$C$17,0),Paramètres!$D$17)</f>
        <v>0</v>
      </c>
      <c r="H95" s="57" t="n">
        <f aca="false">MIN(ROUNDDOWN(N($E95)*Paramètres!$C$18,0),Paramètres!$D$18)</f>
        <v>0</v>
      </c>
      <c r="I95" s="57" t="n">
        <f aca="false">N($E95)-(F95+G95+H95)</f>
        <v>0</v>
      </c>
      <c r="J95" s="58" t="n">
        <v>0</v>
      </c>
      <c r="K95" s="59" t="str">
        <f aca="false">IF(I95&lt;Paramètres!$C$11,"Cadre inférieur","Cadre supérieur")</f>
        <v>Cadre inférieur</v>
      </c>
      <c r="L95" s="57" t="n">
        <f aca="false">MIN(F95,MIN(N($E95)*Paramètres!$C$16,Paramètres!$D$16))+MIN(G95,MIN(N($E95)*Paramètres!$C$17,Paramètres!$D$17))+MIN(H95,MIN(N($E95)*Paramètres!$C$18,Paramètres!$D$18))</f>
        <v>0</v>
      </c>
      <c r="M95" s="57" t="n">
        <f aca="false">MIN(N($E95),Paramètres!$C$7)*Paramètres!$C$6</f>
        <v>0</v>
      </c>
      <c r="N95" s="57" t="n">
        <f aca="false">MIN(M95,I95*Paramètres!$C$8)</f>
        <v>0</v>
      </c>
      <c r="O95" s="57" t="n">
        <f aca="false">I95*IF(K95="Cadre supérieur",Paramètres!$C$10,Paramètres!$C$9)</f>
        <v>0</v>
      </c>
      <c r="P95" s="57" t="n">
        <f aca="false">MAX(0,ROUNDDOWN(N($E95)-L95-N95-O95,-2))</f>
        <v>0</v>
      </c>
      <c r="Q95" s="57" t="n">
        <f aca="false">SUMPRODUCT((P95&gt;Paramètres!$B$21:$B$27)*(P95-Paramètres!$B$21:$B$27)*Paramètres!$E$21:$E$27)</f>
        <v>0</v>
      </c>
      <c r="R95" s="57" t="n">
        <f aca="false">Q95*INDEX(Paramètres!$C$31:$C$38,MIN(MAX(INT(N(J95)),0),7)+1)</f>
        <v>0</v>
      </c>
      <c r="S95" s="60" t="n">
        <f aca="false">ROUND(Q95-R95,0)</f>
        <v>0</v>
      </c>
      <c r="T95" s="57" t="n">
        <f aca="false">ROUND(N($E95)*Paramètres!$C$13,0)</f>
        <v>0</v>
      </c>
      <c r="U95" s="57" t="n">
        <f aca="false">ROUND(MAX(0,N($E95)-(Q95-R95)-M95)*Paramètres!$C$12,0)</f>
        <v>0</v>
      </c>
      <c r="V95" s="60" t="n">
        <f aca="false">ROUND(N($E95)-M95-S95-U95,0)</f>
        <v>0</v>
      </c>
    </row>
    <row r="96" customFormat="false" ht="17.25" hidden="false" customHeight="true" outlineLevel="0" collapsed="false">
      <c r="B96" s="53" t="n">
        <v>83</v>
      </c>
      <c r="C96" s="54" t="s">
        <v>98</v>
      </c>
      <c r="D96" s="55" t="n">
        <v>45784</v>
      </c>
      <c r="E96" s="56" t="n">
        <f aca="false">'Juill-aout-sept 2026'!E94</f>
        <v>108397</v>
      </c>
      <c r="F96" s="57" t="n">
        <f aca="false">MIN(ROUNDDOWN(N($E96)*Paramètres!$C$16,0),Paramètres!$D$16)</f>
        <v>21679</v>
      </c>
      <c r="G96" s="57" t="n">
        <f aca="false">MIN(ROUNDDOWN(N($E96)*Paramètres!$C$17,0),Paramètres!$D$17)</f>
        <v>5419</v>
      </c>
      <c r="H96" s="57" t="n">
        <f aca="false">MIN(ROUNDDOWN(N($E96)*Paramètres!$C$18,0),Paramètres!$D$18)</f>
        <v>5419</v>
      </c>
      <c r="I96" s="57" t="n">
        <f aca="false">N($E96)-(F96+G96+H96)</f>
        <v>75880</v>
      </c>
      <c r="J96" s="58" t="n">
        <v>0</v>
      </c>
      <c r="K96" s="59" t="str">
        <f aca="false">IF(I96&lt;Paramètres!$C$11,"Cadre inférieur","Cadre supérieur")</f>
        <v>Cadre inférieur</v>
      </c>
      <c r="L96" s="57" t="n">
        <f aca="false">MIN(F96,MIN(N($E96)*Paramètres!$C$16,Paramètres!$D$16))+MIN(G96,MIN(N($E96)*Paramètres!$C$17,Paramètres!$D$17))+MIN(H96,MIN(N($E96)*Paramètres!$C$18,Paramètres!$D$18))</f>
        <v>32517</v>
      </c>
      <c r="M96" s="57" t="n">
        <f aca="false">MIN(N($E96),Paramètres!$C$7)*Paramètres!$C$6</f>
        <v>5961.835</v>
      </c>
      <c r="N96" s="57" t="n">
        <f aca="false">MIN(M96,I96*Paramètres!$C$8)</f>
        <v>5961.835</v>
      </c>
      <c r="O96" s="57" t="n">
        <f aca="false">I96*IF(K96="Cadre supérieur",Paramètres!$C$10,Paramètres!$C$9)</f>
        <v>18970</v>
      </c>
      <c r="P96" s="57" t="n">
        <f aca="false">MAX(0,ROUNDDOWN(N($E96)-L96-N96-O96,-2))</f>
        <v>50900</v>
      </c>
      <c r="Q96" s="57" t="n">
        <f aca="false">SUMPRODUCT((P96&gt;Paramètres!$B$21:$B$27)*(P96-Paramètres!$B$21:$B$27)*Paramètres!$E$21:$E$27)</f>
        <v>2545.1</v>
      </c>
      <c r="R96" s="57" t="n">
        <f aca="false">Q96*INDEX(Paramètres!$C$31:$C$38,MIN(MAX(INT(N(J96)),0),7)+1)</f>
        <v>0</v>
      </c>
      <c r="S96" s="60" t="n">
        <f aca="false">ROUND(Q96-R96,0)</f>
        <v>2545</v>
      </c>
      <c r="T96" s="57" t="n">
        <f aca="false">ROUND(N($E96)*Paramètres!$C$13,0)</f>
        <v>3252</v>
      </c>
      <c r="U96" s="57" t="n">
        <f aca="false">ROUND(MAX(0,N($E96)-(Q96-R96)-M96)*Paramètres!$C$12,0)</f>
        <v>999</v>
      </c>
      <c r="V96" s="60" t="n">
        <f aca="false">ROUND(N($E96)-M96-S96-U96,0)</f>
        <v>98891</v>
      </c>
    </row>
    <row r="97" customFormat="false" ht="17.25" hidden="false" customHeight="true" outlineLevel="0" collapsed="false">
      <c r="B97" s="53" t="n">
        <v>84</v>
      </c>
      <c r="C97" s="54" t="s">
        <v>99</v>
      </c>
      <c r="D97" s="55" t="n">
        <v>46183</v>
      </c>
      <c r="E97" s="56" t="n">
        <f aca="false">'Juill-aout-sept 2026'!E95</f>
        <v>80000</v>
      </c>
      <c r="F97" s="57" t="n">
        <f aca="false">MIN(ROUNDDOWN(N($E97)*Paramètres!$C$16,0),Paramètres!$D$16)</f>
        <v>16000</v>
      </c>
      <c r="G97" s="57" t="n">
        <f aca="false">MIN(ROUNDDOWN(N($E97)*Paramètres!$C$17,0),Paramètres!$D$17)</f>
        <v>4000</v>
      </c>
      <c r="H97" s="57" t="n">
        <f aca="false">MIN(ROUNDDOWN(N($E97)*Paramètres!$C$18,0),Paramètres!$D$18)</f>
        <v>4000</v>
      </c>
      <c r="I97" s="57" t="n">
        <f aca="false">N($E97)-(F97+G97+H97)</f>
        <v>56000</v>
      </c>
      <c r="J97" s="58" t="n">
        <v>0</v>
      </c>
      <c r="K97" s="59" t="str">
        <f aca="false">IF(I97&lt;Paramètres!$C$11,"Cadre inférieur","Cadre supérieur")</f>
        <v>Cadre inférieur</v>
      </c>
      <c r="L97" s="57" t="n">
        <f aca="false">MIN(F97,MIN(N($E97)*Paramètres!$C$16,Paramètres!$D$16))+MIN(G97,MIN(N($E97)*Paramètres!$C$17,Paramètres!$D$17))+MIN(H97,MIN(N($E97)*Paramètres!$C$18,Paramètres!$D$18))</f>
        <v>24000</v>
      </c>
      <c r="M97" s="57" t="n">
        <f aca="false">MIN(N($E97),Paramètres!$C$7)*Paramètres!$C$6</f>
        <v>4400</v>
      </c>
      <c r="N97" s="57" t="n">
        <f aca="false">MIN(M97,I97*Paramètres!$C$8)</f>
        <v>4400</v>
      </c>
      <c r="O97" s="57" t="n">
        <f aca="false">I97*IF(K97="Cadre supérieur",Paramètres!$C$10,Paramètres!$C$9)</f>
        <v>14000</v>
      </c>
      <c r="P97" s="57" t="n">
        <f aca="false">MAX(0,ROUNDDOWN(N($E97)-L97-N97-O97,-2))</f>
        <v>37600</v>
      </c>
      <c r="Q97" s="57" t="n">
        <f aca="false">SUMPRODUCT((P97&gt;Paramètres!$B$21:$B$27)*(P97-Paramètres!$B$21:$B$27)*Paramètres!$E$21:$E$27)</f>
        <v>919.6</v>
      </c>
      <c r="R97" s="57" t="n">
        <f aca="false">Q97*INDEX(Paramètres!$C$31:$C$38,MIN(MAX(INT(N(J97)),0),7)+1)</f>
        <v>0</v>
      </c>
      <c r="S97" s="60" t="n">
        <f aca="false">ROUND(Q97-R97,0)</f>
        <v>920</v>
      </c>
      <c r="T97" s="57" t="n">
        <f aca="false">ROUND(N($E97)*Paramètres!$C$13,0)</f>
        <v>2400</v>
      </c>
      <c r="U97" s="57" t="n">
        <f aca="false">ROUND(MAX(0,N($E97)-(Q97-R97)-M97)*Paramètres!$C$12,0)</f>
        <v>747</v>
      </c>
      <c r="V97" s="60" t="n">
        <f aca="false">ROUND(N($E97)-M97-S97-U97,0)</f>
        <v>73933</v>
      </c>
    </row>
    <row r="98" customFormat="false" ht="17.25" hidden="false" customHeight="true" outlineLevel="0" collapsed="false">
      <c r="B98" s="53"/>
      <c r="C98" s="54" t="s">
        <v>100</v>
      </c>
      <c r="D98" s="55"/>
      <c r="E98" s="56" t="n">
        <f aca="false">'Juill-aout-sept 2026'!E96</f>
        <v>231913</v>
      </c>
      <c r="F98" s="57" t="n">
        <f aca="false">MIN(ROUNDDOWN(N($E98)*Paramètres!$C$16,0),Paramètres!$D$16)</f>
        <v>46382</v>
      </c>
      <c r="G98" s="57" t="n">
        <f aca="false">MIN(ROUNDDOWN(N($E98)*Paramètres!$C$17,0),Paramètres!$D$17)</f>
        <v>11595</v>
      </c>
      <c r="H98" s="57" t="n">
        <f aca="false">MIN(ROUNDDOWN(N($E98)*Paramètres!$C$18,0),Paramètres!$D$18)</f>
        <v>11595</v>
      </c>
      <c r="I98" s="57" t="n">
        <f aca="false">N($E98)-(F98+G98+H98)</f>
        <v>162341</v>
      </c>
      <c r="J98" s="58" t="n">
        <v>0</v>
      </c>
      <c r="K98" s="59" t="str">
        <f aca="false">IF(I98&lt;Paramètres!$C$11,"Cadre inférieur","Cadre supérieur")</f>
        <v>Cadre supérieur</v>
      </c>
      <c r="L98" s="57" t="n">
        <f aca="false">MIN(F98,MIN(N($E98)*Paramètres!$C$16,Paramètres!$D$16))+MIN(G98,MIN(N($E98)*Paramètres!$C$17,Paramètres!$D$17))+MIN(H98,MIN(N($E98)*Paramètres!$C$18,Paramètres!$D$18))</f>
        <v>69572</v>
      </c>
      <c r="M98" s="57" t="n">
        <f aca="false">MIN(N($E98),Paramètres!$C$7)*Paramètres!$C$6</f>
        <v>12755.215</v>
      </c>
      <c r="N98" s="57" t="n">
        <f aca="false">MIN(M98,I98*Paramètres!$C$8)</f>
        <v>12755.215</v>
      </c>
      <c r="O98" s="57" t="n">
        <f aca="false">I98*IF(K98="Cadre supérieur",Paramètres!$C$10,Paramètres!$C$9)</f>
        <v>32468.2</v>
      </c>
      <c r="P98" s="57" t="n">
        <f aca="false">MAX(0,ROUNDDOWN(N($E98)-L98-N98-O98,-2))</f>
        <v>117100</v>
      </c>
      <c r="Q98" s="57" t="n">
        <f aca="false">SUMPRODUCT((P98&gt;Paramètres!$B$21:$B$27)*(P98-Paramètres!$B$21:$B$27)*Paramètres!$E$21:$E$27)</f>
        <v>12414.7</v>
      </c>
      <c r="R98" s="57" t="n">
        <f aca="false">Q98*INDEX(Paramètres!$C$31:$C$38,MIN(MAX(INT(N(J98)),0),7)+1)</f>
        <v>0</v>
      </c>
      <c r="S98" s="60" t="n">
        <f aca="false">ROUND(Q98-R98,0)</f>
        <v>12415</v>
      </c>
      <c r="T98" s="57" t="n">
        <f aca="false">ROUND(N($E98)*Paramètres!$C$13,0)</f>
        <v>6957</v>
      </c>
      <c r="U98" s="57" t="n">
        <f aca="false">ROUND(MAX(0,N($E98)-(Q98-R98)-M98)*Paramètres!$C$12,0)</f>
        <v>2067</v>
      </c>
      <c r="V98" s="60" t="n">
        <f aca="false">ROUND(N($E98)-M98-S98-U98,0)</f>
        <v>204676</v>
      </c>
    </row>
    <row r="99" customFormat="false" ht="17.25" hidden="false" customHeight="true" outlineLevel="0" collapsed="false">
      <c r="B99" s="53" t="n">
        <v>85</v>
      </c>
      <c r="C99" s="54" t="s">
        <v>101</v>
      </c>
      <c r="D99" s="55" t="n">
        <v>45778</v>
      </c>
      <c r="E99" s="56" t="n">
        <f aca="false">'Juill-aout-sept 2026'!E97</f>
        <v>0</v>
      </c>
      <c r="F99" s="57" t="n">
        <f aca="false">MIN(ROUNDDOWN(N($E99)*Paramètres!$C$16,0),Paramètres!$D$16)</f>
        <v>0</v>
      </c>
      <c r="G99" s="57" t="n">
        <f aca="false">MIN(ROUNDDOWN(N($E99)*Paramètres!$C$17,0),Paramètres!$D$17)</f>
        <v>0</v>
      </c>
      <c r="H99" s="57" t="n">
        <f aca="false">MIN(ROUNDDOWN(N($E99)*Paramètres!$C$18,0),Paramètres!$D$18)</f>
        <v>0</v>
      </c>
      <c r="I99" s="57" t="n">
        <f aca="false">N($E99)-(F99+G99+H99)</f>
        <v>0</v>
      </c>
      <c r="J99" s="58" t="n">
        <v>0</v>
      </c>
      <c r="K99" s="59" t="str">
        <f aca="false">IF(I99&lt;Paramètres!$C$11,"Cadre inférieur","Cadre supérieur")</f>
        <v>Cadre inférieur</v>
      </c>
      <c r="L99" s="57" t="n">
        <f aca="false">MIN(F99,MIN(N($E99)*Paramètres!$C$16,Paramètres!$D$16))+MIN(G99,MIN(N($E99)*Paramètres!$C$17,Paramètres!$D$17))+MIN(H99,MIN(N($E99)*Paramètres!$C$18,Paramètres!$D$18))</f>
        <v>0</v>
      </c>
      <c r="M99" s="57" t="n">
        <f aca="false">MIN(N($E99),Paramètres!$C$7)*Paramètres!$C$6</f>
        <v>0</v>
      </c>
      <c r="N99" s="57" t="n">
        <f aca="false">MIN(M99,I99*Paramètres!$C$8)</f>
        <v>0</v>
      </c>
      <c r="O99" s="57" t="n">
        <f aca="false">I99*IF(K99="Cadre supérieur",Paramètres!$C$10,Paramètres!$C$9)</f>
        <v>0</v>
      </c>
      <c r="P99" s="57" t="n">
        <f aca="false">MAX(0,ROUNDDOWN(N($E99)-L99-N99-O99,-2))</f>
        <v>0</v>
      </c>
      <c r="Q99" s="57" t="n">
        <f aca="false">SUMPRODUCT((P99&gt;Paramètres!$B$21:$B$27)*(P99-Paramètres!$B$21:$B$27)*Paramètres!$E$21:$E$27)</f>
        <v>0</v>
      </c>
      <c r="R99" s="57" t="n">
        <f aca="false">Q99*INDEX(Paramètres!$C$31:$C$38,MIN(MAX(INT(N(J99)),0),7)+1)</f>
        <v>0</v>
      </c>
      <c r="S99" s="60" t="n">
        <f aca="false">ROUND(Q99-R99,0)</f>
        <v>0</v>
      </c>
      <c r="T99" s="57" t="n">
        <f aca="false">ROUND(N($E99)*Paramètres!$C$13,0)</f>
        <v>0</v>
      </c>
      <c r="U99" s="57" t="n">
        <f aca="false">ROUND(MAX(0,N($E99)-(Q99-R99)-M99)*Paramètres!$C$12,0)</f>
        <v>0</v>
      </c>
      <c r="V99" s="60" t="n">
        <f aca="false">ROUND(N($E99)-M99-S99-U99,0)</f>
        <v>0</v>
      </c>
    </row>
    <row r="100" customFormat="false" ht="21.75" hidden="false" customHeight="true" outlineLevel="0" collapsed="false">
      <c r="B100" s="61" t="s">
        <v>15</v>
      </c>
      <c r="C100" s="61"/>
      <c r="D100" s="61"/>
      <c r="E100" s="62" t="n">
        <f aca="false">SUM(E7:E99)</f>
        <v>12800636</v>
      </c>
      <c r="F100" s="62" t="n">
        <f aca="false">SUM(F7:F99)</f>
        <v>2403927</v>
      </c>
      <c r="G100" s="62" t="n">
        <f aca="false">SUM(G7:G99)</f>
        <v>626671</v>
      </c>
      <c r="H100" s="62" t="n">
        <f aca="false">SUM(H7:H99)</f>
        <v>640012</v>
      </c>
      <c r="I100" s="62" t="n">
        <f aca="false">SUM(I7:I99)</f>
        <v>9130026</v>
      </c>
      <c r="L100" s="62" t="n">
        <f aca="false">SUM(L7:L99)</f>
        <v>3670610</v>
      </c>
      <c r="M100" s="62" t="n">
        <f aca="false">SUM(M7:M99)</f>
        <v>700359.33</v>
      </c>
      <c r="N100" s="62" t="n">
        <f aca="false">SUM(N7:N99)</f>
        <v>700359.33</v>
      </c>
      <c r="O100" s="62" t="n">
        <f aca="false">SUM(O7:O99)</f>
        <v>2108694.05</v>
      </c>
      <c r="P100" s="62" t="n">
        <f aca="false">SUM(P7:P99)</f>
        <v>6318000</v>
      </c>
      <c r="Q100" s="62" t="n">
        <f aca="false">SUM(Q7:Q99)</f>
        <v>688802.7</v>
      </c>
      <c r="R100" s="62" t="n">
        <f aca="false">SUM(R7:R99)</f>
        <v>0</v>
      </c>
      <c r="S100" s="63" t="n">
        <f aca="false">SUM(S7:S99)</f>
        <v>688802</v>
      </c>
      <c r="T100" s="62" t="n">
        <f aca="false">SUM(T7:T99)</f>
        <v>384017</v>
      </c>
      <c r="U100" s="62" t="n">
        <f aca="false">SUM(U7:U99)</f>
        <v>114112</v>
      </c>
      <c r="V100" s="63" t="n">
        <f aca="false">SUM(V7:V99)</f>
        <v>11297364</v>
      </c>
    </row>
    <row r="101" customFormat="false" ht="21.75" hidden="false" customHeight="true" outlineLevel="0" collapsed="false">
      <c r="B101" s="64" t="s">
        <v>125</v>
      </c>
      <c r="C101" s="64"/>
      <c r="D101" s="64"/>
      <c r="E101" s="65" t="n">
        <f aca="false">Juin!E17+E100</f>
        <v>22692781</v>
      </c>
      <c r="S101" s="66" t="n">
        <f aca="false">Juin!S17+S100</f>
        <v>1217656</v>
      </c>
      <c r="T101" s="65" t="n">
        <f aca="false">Juin!T17+T100</f>
        <v>680778</v>
      </c>
      <c r="U101" s="65" t="n">
        <f aca="false">Juin!U17+U100</f>
        <v>202300</v>
      </c>
      <c r="V101" s="66" t="n">
        <f aca="false">Juin!V17+V100</f>
        <v>20028399</v>
      </c>
    </row>
    <row r="103" customFormat="false" ht="15" hidden="false" customHeight="false" outlineLevel="0" collapsed="false">
      <c r="C103" s="67" t="s">
        <v>126</v>
      </c>
    </row>
    <row r="104" customFormat="false" ht="15" hidden="false" customHeight="false" outlineLevel="0" collapsed="false">
      <c r="C104" s="68" t="s">
        <v>127</v>
      </c>
    </row>
    <row r="105" customFormat="false" ht="15" hidden="false" customHeight="false" outlineLevel="0" collapsed="false">
      <c r="C105" s="68" t="s">
        <v>128</v>
      </c>
    </row>
    <row r="106" customFormat="false" ht="15" hidden="false" customHeight="false" outlineLevel="0" collapsed="false">
      <c r="C106" s="68" t="s">
        <v>129</v>
      </c>
    </row>
    <row r="107" customFormat="false" ht="15" hidden="false" customHeight="false" outlineLevel="0" collapsed="false">
      <c r="C107" s="68" t="s">
        <v>130</v>
      </c>
    </row>
    <row r="108" customFormat="false" ht="15" hidden="false" customHeight="false" outlineLevel="0" collapsed="false">
      <c r="C108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00:D100"/>
    <mergeCell ref="B101:D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144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145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17</v>
      </c>
      <c r="D7" s="55" t="n">
        <v>46242</v>
      </c>
      <c r="E7" s="56" t="n">
        <f aca="false">'Juill-aout-sept 2026'!F5</f>
        <v>80000</v>
      </c>
      <c r="F7" s="69" t="n">
        <v>7000</v>
      </c>
      <c r="G7" s="69" t="n">
        <v>2000</v>
      </c>
      <c r="H7" s="69" t="n">
        <v>2000</v>
      </c>
      <c r="I7" s="57" t="n">
        <f aca="false">N($E7)-(F7+G7+H7)</f>
        <v>69000</v>
      </c>
      <c r="J7" s="58" t="n">
        <v>0</v>
      </c>
      <c r="K7" s="59" t="str">
        <f aca="false">IF(I7&lt;Paramètres!$C$11,"Cadre inférieur","Cadre supérieur")</f>
        <v>Cadre inférieur</v>
      </c>
      <c r="L7" s="57" t="n">
        <f aca="false">MIN(F7,MIN(N($E7)*Paramètres!$C$16,Paramètres!$D$16))+MIN(G7,MIN(N($E7)*Paramètres!$C$17,Paramètres!$D$17))+MIN(H7,MIN(N($E7)*Paramètres!$C$18,Paramètres!$D$18))</f>
        <v>11000</v>
      </c>
      <c r="M7" s="57" t="n">
        <f aca="false">MIN(N($E7),Paramètres!$C$7)*Paramètres!$C$6</f>
        <v>4400</v>
      </c>
      <c r="N7" s="57" t="n">
        <f aca="false">MIN(M7,I7*Paramètres!$C$8)</f>
        <v>4400</v>
      </c>
      <c r="O7" s="57" t="n">
        <f aca="false">I7*IF(K7="Cadre supérieur",Paramètres!$C$10,Paramètres!$C$9)</f>
        <v>17250</v>
      </c>
      <c r="P7" s="57" t="n">
        <f aca="false">MAX(0,ROUNDDOWN(N($E7)-L7-N7-O7,-2))</f>
        <v>47300</v>
      </c>
      <c r="Q7" s="57" t="n">
        <f aca="false">SUMPRODUCT((P7&gt;Paramètres!$B$21:$B$27)*(P7-Paramètres!$B$21:$B$27)*Paramètres!$E$21:$E$27)</f>
        <v>2093.3</v>
      </c>
      <c r="R7" s="57" t="n">
        <f aca="false">Q7*INDEX(Paramètres!$C$31:$C$38,MIN(MAX(INT(N(J7)),0),7)+1)</f>
        <v>0</v>
      </c>
      <c r="S7" s="60" t="n">
        <f aca="false">ROUND(Q7-R7,0)</f>
        <v>2093</v>
      </c>
      <c r="T7" s="57" t="n">
        <f aca="false">ROUND(N($E7)*Paramètres!$C$13,0)</f>
        <v>2400</v>
      </c>
      <c r="U7" s="57" t="n">
        <f aca="false">ROUND(MAX(0,N($E7)-(Q7-R7)-M7)*Paramètres!$C$12,0)</f>
        <v>735</v>
      </c>
      <c r="V7" s="60" t="n">
        <f aca="false">ROUND(N($E7)-M7-S7-U7,0)</f>
        <v>72772</v>
      </c>
    </row>
    <row r="8" customFormat="false" ht="17.25" hidden="false" customHeight="true" outlineLevel="0" collapsed="false">
      <c r="B8" s="53" t="n">
        <v>2</v>
      </c>
      <c r="C8" s="54" t="s">
        <v>18</v>
      </c>
      <c r="D8" s="55" t="n">
        <v>46196</v>
      </c>
      <c r="E8" s="56" t="n">
        <f aca="false">'Juill-aout-sept 2026'!F6</f>
        <v>135983</v>
      </c>
      <c r="F8" s="57" t="n">
        <f aca="false">MIN(ROUNDDOWN(N($E8)*Paramètres!$C$16,0),Paramètres!$D$16)</f>
        <v>27196</v>
      </c>
      <c r="G8" s="57" t="n">
        <f aca="false">MIN(ROUNDDOWN(N($E8)*Paramètres!$C$17,0),Paramètres!$D$17)</f>
        <v>6799</v>
      </c>
      <c r="H8" s="57" t="n">
        <f aca="false">MIN(ROUNDDOWN(N($E8)*Paramètres!$C$18,0),Paramètres!$D$18)</f>
        <v>6799</v>
      </c>
      <c r="I8" s="57" t="n">
        <f aca="false">N($E8)-(F8+G8+H8)</f>
        <v>95189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40794</v>
      </c>
      <c r="M8" s="57" t="n">
        <f aca="false">MIN(N($E8),Paramètres!$C$7)*Paramètres!$C$6</f>
        <v>7479.065</v>
      </c>
      <c r="N8" s="57" t="n">
        <f aca="false">MIN(M8,I8*Paramètres!$C$8)</f>
        <v>7479.065</v>
      </c>
      <c r="O8" s="57" t="n">
        <f aca="false">I8*IF(K8="Cadre supérieur",Paramètres!$C$10,Paramètres!$C$9)</f>
        <v>23797.25</v>
      </c>
      <c r="P8" s="57" t="n">
        <f aca="false">MAX(0,ROUNDDOWN(N($E8)-L8-N8-O8,-2))</f>
        <v>63900</v>
      </c>
      <c r="Q8" s="57" t="n">
        <f aca="false">SUMPRODUCT((P8&gt;Paramètres!$B$21:$B$27)*(P8-Paramètres!$B$21:$B$27)*Paramètres!$E$21:$E$27)</f>
        <v>4352.1</v>
      </c>
      <c r="R8" s="57" t="n">
        <f aca="false">Q8*INDEX(Paramètres!$C$31:$C$38,MIN(MAX(INT(N(J8)),0),7)+1)</f>
        <v>0</v>
      </c>
      <c r="S8" s="60" t="n">
        <f aca="false">ROUND(Q8-R8,0)</f>
        <v>4352</v>
      </c>
      <c r="T8" s="57" t="n">
        <f aca="false">ROUND(N($E8)*Paramètres!$C$13,0)</f>
        <v>4079</v>
      </c>
      <c r="U8" s="57" t="n">
        <f aca="false">ROUND(MAX(0,N($E8)-(Q8-R8)-M8)*Paramètres!$C$12,0)</f>
        <v>1242</v>
      </c>
      <c r="V8" s="60" t="n">
        <f aca="false">ROUND(N($E8)-M8-S8-U8,0)</f>
        <v>122910</v>
      </c>
    </row>
    <row r="9" customFormat="false" ht="17.25" hidden="false" customHeight="true" outlineLevel="0" collapsed="false">
      <c r="B9" s="53" t="n">
        <v>3</v>
      </c>
      <c r="C9" s="54" t="s">
        <v>19</v>
      </c>
      <c r="D9" s="55" t="n">
        <v>46000</v>
      </c>
      <c r="E9" s="56" t="n">
        <f aca="false">'Juill-aout-sept 2026'!F7</f>
        <v>177387</v>
      </c>
      <c r="F9" s="57" t="n">
        <f aca="false">MIN(ROUNDDOWN(N($E9)*Paramètres!$C$16,0),Paramètres!$D$16)</f>
        <v>35477</v>
      </c>
      <c r="G9" s="57" t="n">
        <f aca="false">MIN(ROUNDDOWN(N($E9)*Paramètres!$C$17,0),Paramètres!$D$17)</f>
        <v>8869</v>
      </c>
      <c r="H9" s="57" t="n">
        <f aca="false">MIN(ROUNDDOWN(N($E9)*Paramètres!$C$18,0),Paramètres!$D$18)</f>
        <v>8869</v>
      </c>
      <c r="I9" s="57" t="n">
        <f aca="false">N($E9)-(F9+G9+H9)</f>
        <v>124172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53215</v>
      </c>
      <c r="M9" s="57" t="n">
        <f aca="false">MIN(N($E9),Paramètres!$C$7)*Paramètres!$C$6</f>
        <v>9756.285</v>
      </c>
      <c r="N9" s="57" t="n">
        <f aca="false">MIN(M9,I9*Paramètres!$C$8)</f>
        <v>9756.285</v>
      </c>
      <c r="O9" s="57" t="n">
        <f aca="false">I9*IF(K9="Cadre supérieur",Paramètres!$C$10,Paramètres!$C$9)</f>
        <v>31043</v>
      </c>
      <c r="P9" s="57" t="n">
        <f aca="false">MAX(0,ROUNDDOWN(N($E9)-L9-N9-O9,-2))</f>
        <v>83300</v>
      </c>
      <c r="Q9" s="57" t="n">
        <f aca="false">SUMPRODUCT((P9&gt;Paramètres!$B$21:$B$27)*(P9-Paramètres!$B$21:$B$27)*Paramètres!$E$21:$E$27)</f>
        <v>7108.1</v>
      </c>
      <c r="R9" s="57" t="n">
        <f aca="false">Q9*INDEX(Paramètres!$C$31:$C$38,MIN(MAX(INT(N(J9)),0),7)+1)</f>
        <v>0</v>
      </c>
      <c r="S9" s="60" t="n">
        <f aca="false">ROUND(Q9-R9,0)</f>
        <v>7108</v>
      </c>
      <c r="T9" s="57" t="n">
        <f aca="false">ROUND(N($E9)*Paramètres!$C$13,0)</f>
        <v>5322</v>
      </c>
      <c r="U9" s="57" t="n">
        <f aca="false">ROUND(MAX(0,N($E9)-(Q9-R9)-M9)*Paramètres!$C$12,0)</f>
        <v>1605</v>
      </c>
      <c r="V9" s="60" t="n">
        <f aca="false">ROUND(N($E9)-M9-S9-U9,0)</f>
        <v>158918</v>
      </c>
    </row>
    <row r="10" customFormat="false" ht="17.25" hidden="false" customHeight="true" outlineLevel="0" collapsed="false">
      <c r="B10" s="53" t="n">
        <v>4</v>
      </c>
      <c r="C10" s="54" t="s">
        <v>12</v>
      </c>
      <c r="D10" s="55" t="n">
        <v>45677</v>
      </c>
      <c r="E10" s="56" t="n">
        <f aca="false">'Juill-aout-sept 2026'!F8</f>
        <v>346515</v>
      </c>
      <c r="F10" s="57" t="n">
        <f aca="false">MIN(ROUNDDOWN(N($E10)*Paramètres!$C$16,0),Paramètres!$D$16)</f>
        <v>69303</v>
      </c>
      <c r="G10" s="57" t="n">
        <f aca="false">MIN(ROUNDDOWN(N($E10)*Paramètres!$C$17,0),Paramètres!$D$17)</f>
        <v>17325</v>
      </c>
      <c r="H10" s="57" t="n">
        <f aca="false">MIN(ROUNDDOWN(N($E10)*Paramètres!$C$18,0),Paramètres!$D$18)</f>
        <v>17325</v>
      </c>
      <c r="I10" s="57" t="n">
        <f aca="false">N($E10)-(F10+G10+H10)</f>
        <v>242562</v>
      </c>
      <c r="J10" s="58" t="n">
        <v>0</v>
      </c>
      <c r="K10" s="59" t="str">
        <f aca="false">IF(I10&lt;Paramètres!$C$11,"Cadre inférieur","Cadre supérieur")</f>
        <v>Cadre supérieur</v>
      </c>
      <c r="L10" s="57" t="n">
        <f aca="false">MIN(F10,MIN(N($E10)*Paramètres!$C$16,Paramètres!$D$16))+MIN(G10,MIN(N($E10)*Paramètres!$C$17,Paramètres!$D$17))+MIN(H10,MIN(N($E10)*Paramètres!$C$18,Paramètres!$D$18))</f>
        <v>103953</v>
      </c>
      <c r="M10" s="57" t="n">
        <f aca="false">MIN(N($E10),Paramètres!$C$7)*Paramètres!$C$6</f>
        <v>19058.325</v>
      </c>
      <c r="N10" s="57" t="n">
        <f aca="false">MIN(M10,I10*Paramètres!$C$8)</f>
        <v>19058.325</v>
      </c>
      <c r="O10" s="57" t="n">
        <f aca="false">I10*IF(K10="Cadre supérieur",Paramètres!$C$10,Paramètres!$C$9)</f>
        <v>48512.4</v>
      </c>
      <c r="P10" s="57" t="n">
        <f aca="false">MAX(0,ROUNDDOWN(N($E10)-L10-N10-O10,-2))</f>
        <v>174900</v>
      </c>
      <c r="Q10" s="57" t="n">
        <f aca="false">SUMPRODUCT((P10&gt;Paramètres!$B$21:$B$27)*(P10-Paramètres!$B$21:$B$27)*Paramètres!$E$21:$E$27)</f>
        <v>23133.3</v>
      </c>
      <c r="R10" s="57" t="n">
        <f aca="false">Q10*INDEX(Paramètres!$C$31:$C$38,MIN(MAX(INT(N(J10)),0),7)+1)</f>
        <v>0</v>
      </c>
      <c r="S10" s="60" t="n">
        <f aca="false">ROUND(Q10-R10,0)</f>
        <v>23133</v>
      </c>
      <c r="T10" s="57" t="n">
        <f aca="false">ROUND(N($E10)*Paramètres!$C$13,0)</f>
        <v>10395</v>
      </c>
      <c r="U10" s="57" t="n">
        <f aca="false">ROUND(MAX(0,N($E10)-(Q10-R10)-M10)*Paramètres!$C$12,0)</f>
        <v>3043</v>
      </c>
      <c r="V10" s="60" t="n">
        <f aca="false">ROUND(N($E10)-M10-S10-U10,0)</f>
        <v>301281</v>
      </c>
    </row>
    <row r="11" customFormat="false" ht="17.25" hidden="false" customHeight="true" outlineLevel="0" collapsed="false">
      <c r="B11" s="53" t="n">
        <v>5</v>
      </c>
      <c r="C11" s="54" t="s">
        <v>20</v>
      </c>
      <c r="D11" s="55" t="n">
        <v>46023</v>
      </c>
      <c r="E11" s="56" t="n">
        <f aca="false">'Juill-aout-sept 2026'!F9</f>
        <v>165340</v>
      </c>
      <c r="F11" s="57" t="n">
        <f aca="false">MIN(ROUNDDOWN(N($E11)*Paramètres!$C$16,0),Paramètres!$D$16)</f>
        <v>33068</v>
      </c>
      <c r="G11" s="57" t="n">
        <f aca="false">MIN(ROUNDDOWN(N($E11)*Paramètres!$C$17,0),Paramètres!$D$17)</f>
        <v>8267</v>
      </c>
      <c r="H11" s="57" t="n">
        <f aca="false">MIN(ROUNDDOWN(N($E11)*Paramètres!$C$18,0),Paramètres!$D$18)</f>
        <v>8267</v>
      </c>
      <c r="I11" s="57" t="n">
        <f aca="false">N($E11)-(F11+G11+H11)</f>
        <v>115738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49602</v>
      </c>
      <c r="M11" s="57" t="n">
        <f aca="false">MIN(N($E11),Paramètres!$C$7)*Paramètres!$C$6</f>
        <v>9093.7</v>
      </c>
      <c r="N11" s="57" t="n">
        <f aca="false">MIN(M11,I11*Paramètres!$C$8)</f>
        <v>9093.7</v>
      </c>
      <c r="O11" s="57" t="n">
        <f aca="false">I11*IF(K11="Cadre supérieur",Paramètres!$C$10,Paramètres!$C$9)</f>
        <v>28934.5</v>
      </c>
      <c r="P11" s="57" t="n">
        <f aca="false">MAX(0,ROUNDDOWN(N($E11)-L11-N11-O11,-2))</f>
        <v>77700</v>
      </c>
      <c r="Q11" s="57" t="n">
        <f aca="false">SUMPRODUCT((P11&gt;Paramètres!$B$21:$B$27)*(P11-Paramètres!$B$21:$B$27)*Paramètres!$E$21:$E$27)</f>
        <v>6270.3</v>
      </c>
      <c r="R11" s="57" t="n">
        <f aca="false">Q11*INDEX(Paramètres!$C$31:$C$38,MIN(MAX(INT(N(J11)),0),7)+1)</f>
        <v>0</v>
      </c>
      <c r="S11" s="60" t="n">
        <f aca="false">ROUND(Q11-R11,0)</f>
        <v>6270</v>
      </c>
      <c r="T11" s="57" t="n">
        <f aca="false">ROUND(N($E11)*Paramètres!$C$13,0)</f>
        <v>4960</v>
      </c>
      <c r="U11" s="57" t="n">
        <f aca="false">ROUND(MAX(0,N($E11)-(Q11-R11)-M11)*Paramètres!$C$12,0)</f>
        <v>1500</v>
      </c>
      <c r="V11" s="60" t="n">
        <f aca="false">ROUND(N($E11)-M11-S11-U11,0)</f>
        <v>148476</v>
      </c>
    </row>
    <row r="12" customFormat="false" ht="17.25" hidden="false" customHeight="true" outlineLevel="0" collapsed="false">
      <c r="B12" s="53" t="n">
        <v>6</v>
      </c>
      <c r="C12" s="54" t="s">
        <v>21</v>
      </c>
      <c r="D12" s="55" t="n">
        <v>46217</v>
      </c>
      <c r="E12" s="56" t="n">
        <f aca="false">'Juill-aout-sept 2026'!F10</f>
        <v>177387</v>
      </c>
      <c r="F12" s="57" t="n">
        <f aca="false">MIN(ROUNDDOWN(N($E12)*Paramètres!$C$16,0),Paramètres!$D$16)</f>
        <v>35477</v>
      </c>
      <c r="G12" s="57" t="n">
        <f aca="false">MIN(ROUNDDOWN(N($E12)*Paramètres!$C$17,0),Paramètres!$D$17)</f>
        <v>8869</v>
      </c>
      <c r="H12" s="57" t="n">
        <f aca="false">MIN(ROUNDDOWN(N($E12)*Paramètres!$C$18,0),Paramètres!$D$18)</f>
        <v>8869</v>
      </c>
      <c r="I12" s="57" t="n">
        <f aca="false">N($E12)-(F12+G12+H12)</f>
        <v>124172</v>
      </c>
      <c r="J12" s="58" t="n">
        <v>0</v>
      </c>
      <c r="K12" s="59" t="str">
        <f aca="false">IF(I12&lt;Paramètres!$C$11,"Cadre inférieur","Cadre supérieur")</f>
        <v>Cadre inférieur</v>
      </c>
      <c r="L12" s="57" t="n">
        <f aca="false">MIN(F12,MIN(N($E12)*Paramètres!$C$16,Paramètres!$D$16))+MIN(G12,MIN(N($E12)*Paramètres!$C$17,Paramètres!$D$17))+MIN(H12,MIN(N($E12)*Paramètres!$C$18,Paramètres!$D$18))</f>
        <v>53215</v>
      </c>
      <c r="M12" s="57" t="n">
        <f aca="false">MIN(N($E12),Paramètres!$C$7)*Paramètres!$C$6</f>
        <v>9756.285</v>
      </c>
      <c r="N12" s="57" t="n">
        <f aca="false">MIN(M12,I12*Paramètres!$C$8)</f>
        <v>9756.285</v>
      </c>
      <c r="O12" s="57" t="n">
        <f aca="false">I12*IF(K12="Cadre supérieur",Paramètres!$C$10,Paramètres!$C$9)</f>
        <v>31043</v>
      </c>
      <c r="P12" s="57" t="n">
        <f aca="false">MAX(0,ROUNDDOWN(N($E12)-L12-N12-O12,-2))</f>
        <v>83300</v>
      </c>
      <c r="Q12" s="57" t="n">
        <f aca="false">SUMPRODUCT((P12&gt;Paramètres!$B$21:$B$27)*(P12-Paramètres!$B$21:$B$27)*Paramètres!$E$21:$E$27)</f>
        <v>7108.1</v>
      </c>
      <c r="R12" s="57" t="n">
        <f aca="false">Q12*INDEX(Paramètres!$C$31:$C$38,MIN(MAX(INT(N(J12)),0),7)+1)</f>
        <v>0</v>
      </c>
      <c r="S12" s="60" t="n">
        <f aca="false">ROUND(Q12-R12,0)</f>
        <v>7108</v>
      </c>
      <c r="T12" s="57" t="n">
        <f aca="false">ROUND(N($E12)*Paramètres!$C$13,0)</f>
        <v>5322</v>
      </c>
      <c r="U12" s="57" t="n">
        <f aca="false">ROUND(MAX(0,N($E12)-(Q12-R12)-M12)*Paramètres!$C$12,0)</f>
        <v>1605</v>
      </c>
      <c r="V12" s="60" t="n">
        <f aca="false">ROUND(N($E12)-M12-S12-U12,0)</f>
        <v>158918</v>
      </c>
    </row>
    <row r="13" customFormat="false" ht="17.25" hidden="false" customHeight="true" outlineLevel="0" collapsed="false">
      <c r="B13" s="53" t="n">
        <v>7</v>
      </c>
      <c r="C13" s="54" t="s">
        <v>22</v>
      </c>
      <c r="D13" s="55" t="n">
        <v>46174</v>
      </c>
      <c r="E13" s="56" t="n">
        <f aca="false">'Juill-aout-sept 2026'!F11</f>
        <v>195484</v>
      </c>
      <c r="F13" s="57" t="n">
        <f aca="false">MIN(ROUNDDOWN(N($E13)*Paramètres!$C$16,0),Paramètres!$D$16)</f>
        <v>39096</v>
      </c>
      <c r="G13" s="57" t="n">
        <f aca="false">MIN(ROUNDDOWN(N($E13)*Paramètres!$C$17,0),Paramètres!$D$17)</f>
        <v>9774</v>
      </c>
      <c r="H13" s="57" t="n">
        <f aca="false">MIN(ROUNDDOWN(N($E13)*Paramètres!$C$18,0),Paramètres!$D$18)</f>
        <v>9774</v>
      </c>
      <c r="I13" s="57" t="n">
        <f aca="false">N($E13)-(F13+G13+H13)</f>
        <v>136840</v>
      </c>
      <c r="J13" s="58" t="n">
        <v>0</v>
      </c>
      <c r="K13" s="59" t="str">
        <f aca="false">IF(I13&lt;Paramètres!$C$11,"Cadre inférieur","Cadre supérieur")</f>
        <v>Cadre inférieur</v>
      </c>
      <c r="L13" s="57" t="n">
        <f aca="false">MIN(F13,MIN(N($E13)*Paramètres!$C$16,Paramètres!$D$16))+MIN(G13,MIN(N($E13)*Paramètres!$C$17,Paramètres!$D$17))+MIN(H13,MIN(N($E13)*Paramètres!$C$18,Paramètres!$D$18))</f>
        <v>58644</v>
      </c>
      <c r="M13" s="57" t="n">
        <f aca="false">MIN(N($E13),Paramètres!$C$7)*Paramètres!$C$6</f>
        <v>10751.62</v>
      </c>
      <c r="N13" s="57" t="n">
        <f aca="false">MIN(M13,I13*Paramètres!$C$8)</f>
        <v>10751.62</v>
      </c>
      <c r="O13" s="57" t="n">
        <f aca="false">I13*IF(K13="Cadre supérieur",Paramètres!$C$10,Paramètres!$C$9)</f>
        <v>34210</v>
      </c>
      <c r="P13" s="57" t="n">
        <f aca="false">MAX(0,ROUNDDOWN(N($E13)-L13-N13-O13,-2))</f>
        <v>91800</v>
      </c>
      <c r="Q13" s="57" t="n">
        <f aca="false">SUMPRODUCT((P13&gt;Paramètres!$B$21:$B$27)*(P13-Paramètres!$B$21:$B$27)*Paramètres!$E$21:$E$27)</f>
        <v>8442.6</v>
      </c>
      <c r="R13" s="57" t="n">
        <f aca="false">Q13*INDEX(Paramètres!$C$31:$C$38,MIN(MAX(INT(N(J13)),0),7)+1)</f>
        <v>0</v>
      </c>
      <c r="S13" s="60" t="n">
        <f aca="false">ROUND(Q13-R13,0)</f>
        <v>8443</v>
      </c>
      <c r="T13" s="57" t="n">
        <f aca="false">ROUND(N($E13)*Paramètres!$C$13,0)</f>
        <v>5865</v>
      </c>
      <c r="U13" s="57" t="n">
        <f aca="false">ROUND(MAX(0,N($E13)-(Q13-R13)-M13)*Paramètres!$C$12,0)</f>
        <v>1763</v>
      </c>
      <c r="V13" s="60" t="n">
        <f aca="false">ROUND(N($E13)-M13-S13-U13,0)</f>
        <v>174526</v>
      </c>
    </row>
    <row r="14" customFormat="false" ht="17.25" hidden="false" customHeight="true" outlineLevel="0" collapsed="false">
      <c r="B14" s="53" t="n">
        <v>8</v>
      </c>
      <c r="C14" s="54" t="s">
        <v>23</v>
      </c>
      <c r="D14" s="55" t="n">
        <v>45778</v>
      </c>
      <c r="E14" s="56" t="n">
        <f aca="false">'Juill-aout-sept 2026'!F12</f>
        <v>213566</v>
      </c>
      <c r="F14" s="57" t="n">
        <f aca="false">MIN(ROUNDDOWN(N($E14)*Paramètres!$C$16,0),Paramètres!$D$16)</f>
        <v>42713</v>
      </c>
      <c r="G14" s="57" t="n">
        <f aca="false">MIN(ROUNDDOWN(N($E14)*Paramètres!$C$17,0),Paramètres!$D$17)</f>
        <v>10678</v>
      </c>
      <c r="H14" s="57" t="n">
        <f aca="false">MIN(ROUNDDOWN(N($E14)*Paramètres!$C$18,0),Paramètres!$D$18)</f>
        <v>10678</v>
      </c>
      <c r="I14" s="57" t="n">
        <f aca="false">N($E14)-(F14+G14+H14)</f>
        <v>149497</v>
      </c>
      <c r="J14" s="58" t="n">
        <v>0</v>
      </c>
      <c r="K14" s="59" t="str">
        <f aca="false">IF(I14&lt;Paramètres!$C$11,"Cadre inférieur","Cadre supérieur")</f>
        <v>Cadre inférieur</v>
      </c>
      <c r="L14" s="57" t="n">
        <f aca="false">MIN(F14,MIN(N($E14)*Paramètres!$C$16,Paramètres!$D$16))+MIN(G14,MIN(N($E14)*Paramètres!$C$17,Paramètres!$D$17))+MIN(H14,MIN(N($E14)*Paramètres!$C$18,Paramètres!$D$18))</f>
        <v>64069</v>
      </c>
      <c r="M14" s="57" t="n">
        <f aca="false">MIN(N($E14),Paramètres!$C$7)*Paramètres!$C$6</f>
        <v>11746.13</v>
      </c>
      <c r="N14" s="57" t="n">
        <f aca="false">MIN(M14,I14*Paramètres!$C$8)</f>
        <v>11746.13</v>
      </c>
      <c r="O14" s="57" t="n">
        <f aca="false">I14*IF(K14="Cadre supérieur",Paramètres!$C$10,Paramètres!$C$9)</f>
        <v>37374.25</v>
      </c>
      <c r="P14" s="57" t="n">
        <f aca="false">MAX(0,ROUNDDOWN(N($E14)-L14-N14-O14,-2))</f>
        <v>100300</v>
      </c>
      <c r="Q14" s="57" t="n">
        <f aca="false">SUMPRODUCT((P14&gt;Paramètres!$B$21:$B$27)*(P14-Paramètres!$B$21:$B$27)*Paramètres!$E$21:$E$27)</f>
        <v>9777.1</v>
      </c>
      <c r="R14" s="57" t="n">
        <f aca="false">Q14*INDEX(Paramètres!$C$31:$C$38,MIN(MAX(INT(N(J14)),0),7)+1)</f>
        <v>0</v>
      </c>
      <c r="S14" s="60" t="n">
        <f aca="false">ROUND(Q14-R14,0)</f>
        <v>9777</v>
      </c>
      <c r="T14" s="57" t="n">
        <f aca="false">ROUND(N($E14)*Paramètres!$C$13,0)</f>
        <v>6407</v>
      </c>
      <c r="U14" s="57" t="n">
        <f aca="false">ROUND(MAX(0,N($E14)-(Q14-R14)-M14)*Paramètres!$C$12,0)</f>
        <v>1920</v>
      </c>
      <c r="V14" s="60" t="n">
        <f aca="false">ROUND(N($E14)-M14-S14-U14,0)</f>
        <v>190123</v>
      </c>
    </row>
    <row r="15" customFormat="false" ht="17.25" hidden="false" customHeight="true" outlineLevel="0" collapsed="false">
      <c r="B15" s="53" t="n">
        <v>9</v>
      </c>
      <c r="C15" s="54" t="s">
        <v>24</v>
      </c>
      <c r="D15" s="55" t="n">
        <v>46250</v>
      </c>
      <c r="E15" s="56" t="n">
        <f aca="false">'Juill-aout-sept 2026'!F13</f>
        <v>165340</v>
      </c>
      <c r="F15" s="57" t="n">
        <f aca="false">MIN(ROUNDDOWN(N($E15)*Paramètres!$C$16,0),Paramètres!$D$16)</f>
        <v>33068</v>
      </c>
      <c r="G15" s="57" t="n">
        <f aca="false">MIN(ROUNDDOWN(N($E15)*Paramètres!$C$17,0),Paramètres!$D$17)</f>
        <v>8267</v>
      </c>
      <c r="H15" s="57" t="n">
        <f aca="false">MIN(ROUNDDOWN(N($E15)*Paramètres!$C$18,0),Paramètres!$D$18)</f>
        <v>8267</v>
      </c>
      <c r="I15" s="57" t="n">
        <f aca="false">N($E15)-(F15+G15+H15)</f>
        <v>115738</v>
      </c>
      <c r="J15" s="58" t="n">
        <v>0</v>
      </c>
      <c r="K15" s="59" t="str">
        <f aca="false">IF(I15&lt;Paramètres!$C$11,"Cadre inférieur","Cadre supérieur")</f>
        <v>Cadre inférieur</v>
      </c>
      <c r="L15" s="57" t="n">
        <f aca="false">MIN(F15,MIN(N($E15)*Paramètres!$C$16,Paramètres!$D$16))+MIN(G15,MIN(N($E15)*Paramètres!$C$17,Paramètres!$D$17))+MIN(H15,MIN(N($E15)*Paramètres!$C$18,Paramètres!$D$18))</f>
        <v>49602</v>
      </c>
      <c r="M15" s="57" t="n">
        <f aca="false">MIN(N($E15),Paramètres!$C$7)*Paramètres!$C$6</f>
        <v>9093.7</v>
      </c>
      <c r="N15" s="57" t="n">
        <f aca="false">MIN(M15,I15*Paramètres!$C$8)</f>
        <v>9093.7</v>
      </c>
      <c r="O15" s="57" t="n">
        <f aca="false">I15*IF(K15="Cadre supérieur",Paramètres!$C$10,Paramètres!$C$9)</f>
        <v>28934.5</v>
      </c>
      <c r="P15" s="57" t="n">
        <f aca="false">MAX(0,ROUNDDOWN(N($E15)-L15-N15-O15,-2))</f>
        <v>77700</v>
      </c>
      <c r="Q15" s="57" t="n">
        <f aca="false">SUMPRODUCT((P15&gt;Paramètres!$B$21:$B$27)*(P15-Paramètres!$B$21:$B$27)*Paramètres!$E$21:$E$27)</f>
        <v>6270.3</v>
      </c>
      <c r="R15" s="57" t="n">
        <f aca="false">Q15*INDEX(Paramètres!$C$31:$C$38,MIN(MAX(INT(N(J15)),0),7)+1)</f>
        <v>0</v>
      </c>
      <c r="S15" s="60" t="n">
        <f aca="false">ROUND(Q15-R15,0)</f>
        <v>6270</v>
      </c>
      <c r="T15" s="57" t="n">
        <f aca="false">ROUND(N($E15)*Paramètres!$C$13,0)</f>
        <v>4960</v>
      </c>
      <c r="U15" s="57" t="n">
        <f aca="false">ROUND(MAX(0,N($E15)-(Q15-R15)-M15)*Paramètres!$C$12,0)</f>
        <v>1500</v>
      </c>
      <c r="V15" s="60" t="n">
        <f aca="false">ROUND(N($E15)-M15-S15-U15,0)</f>
        <v>148476</v>
      </c>
    </row>
    <row r="16" customFormat="false" ht="17.25" hidden="false" customHeight="true" outlineLevel="0" collapsed="false">
      <c r="B16" s="53" t="n">
        <v>10</v>
      </c>
      <c r="C16" s="54" t="s">
        <v>25</v>
      </c>
      <c r="D16" s="55" t="n">
        <v>45778</v>
      </c>
      <c r="E16" s="56" t="n">
        <f aca="false">'Juill-aout-sept 2026'!F14</f>
        <v>213563</v>
      </c>
      <c r="F16" s="57" t="n">
        <f aca="false">MIN(ROUNDDOWN(N($E16)*Paramètres!$C$16,0),Paramètres!$D$16)</f>
        <v>42712</v>
      </c>
      <c r="G16" s="57" t="n">
        <f aca="false">MIN(ROUNDDOWN(N($E16)*Paramètres!$C$17,0),Paramètres!$D$17)</f>
        <v>10678</v>
      </c>
      <c r="H16" s="57" t="n">
        <f aca="false">MIN(ROUNDDOWN(N($E16)*Paramètres!$C$18,0),Paramètres!$D$18)</f>
        <v>10678</v>
      </c>
      <c r="I16" s="57" t="n">
        <f aca="false">N($E16)-(F16+G16+H16)</f>
        <v>149495</v>
      </c>
      <c r="J16" s="58" t="n">
        <v>0</v>
      </c>
      <c r="K16" s="59" t="str">
        <f aca="false">IF(I16&lt;Paramètres!$C$11,"Cadre inférieur","Cadre supérieur")</f>
        <v>Cadre inférieur</v>
      </c>
      <c r="L16" s="57" t="n">
        <f aca="false">MIN(F16,MIN(N($E16)*Paramètres!$C$16,Paramètres!$D$16))+MIN(G16,MIN(N($E16)*Paramètres!$C$17,Paramètres!$D$17))+MIN(H16,MIN(N($E16)*Paramètres!$C$18,Paramètres!$D$18))</f>
        <v>64068</v>
      </c>
      <c r="M16" s="57" t="n">
        <f aca="false">MIN(N($E16),Paramètres!$C$7)*Paramètres!$C$6</f>
        <v>11745.965</v>
      </c>
      <c r="N16" s="57" t="n">
        <f aca="false">MIN(M16,I16*Paramètres!$C$8)</f>
        <v>11745.965</v>
      </c>
      <c r="O16" s="57" t="n">
        <f aca="false">I16*IF(K16="Cadre supérieur",Paramètres!$C$10,Paramètres!$C$9)</f>
        <v>37373.75</v>
      </c>
      <c r="P16" s="57" t="n">
        <f aca="false">MAX(0,ROUNDDOWN(N($E16)-L16-N16-O16,-2))</f>
        <v>100300</v>
      </c>
      <c r="Q16" s="57" t="n">
        <f aca="false">SUMPRODUCT((P16&gt;Paramètres!$B$21:$B$27)*(P16-Paramètres!$B$21:$B$27)*Paramètres!$E$21:$E$27)</f>
        <v>9777.1</v>
      </c>
      <c r="R16" s="57" t="n">
        <f aca="false">Q16*INDEX(Paramètres!$C$31:$C$38,MIN(MAX(INT(N(J16)),0),7)+1)</f>
        <v>0</v>
      </c>
      <c r="S16" s="60" t="n">
        <f aca="false">ROUND(Q16-R16,0)</f>
        <v>9777</v>
      </c>
      <c r="T16" s="57" t="n">
        <f aca="false">ROUND(N($E16)*Paramètres!$C$13,0)</f>
        <v>6407</v>
      </c>
      <c r="U16" s="57" t="n">
        <f aca="false">ROUND(MAX(0,N($E16)-(Q16-R16)-M16)*Paramètres!$C$12,0)</f>
        <v>1920</v>
      </c>
      <c r="V16" s="60" t="n">
        <f aca="false">ROUND(N($E16)-M16-S16-U16,0)</f>
        <v>190120</v>
      </c>
    </row>
    <row r="17" customFormat="false" ht="17.25" hidden="false" customHeight="true" outlineLevel="0" collapsed="false">
      <c r="B17" s="53" t="n">
        <v>11</v>
      </c>
      <c r="C17" s="54" t="s">
        <v>26</v>
      </c>
      <c r="D17" s="55" t="n">
        <v>45778</v>
      </c>
      <c r="E17" s="56" t="n">
        <f aca="false">'Juill-aout-sept 2026'!F15</f>
        <v>213563</v>
      </c>
      <c r="F17" s="57" t="n">
        <f aca="false">MIN(ROUNDDOWN(N($E17)*Paramètres!$C$16,0),Paramètres!$D$16)</f>
        <v>42712</v>
      </c>
      <c r="G17" s="57" t="n">
        <f aca="false">MIN(ROUNDDOWN(N($E17)*Paramètres!$C$17,0),Paramètres!$D$17)</f>
        <v>10678</v>
      </c>
      <c r="H17" s="57" t="n">
        <f aca="false">MIN(ROUNDDOWN(N($E17)*Paramètres!$C$18,0),Paramètres!$D$18)</f>
        <v>10678</v>
      </c>
      <c r="I17" s="57" t="n">
        <f aca="false">N($E17)-(F17+G17+H17)</f>
        <v>149495</v>
      </c>
      <c r="J17" s="58" t="n">
        <v>0</v>
      </c>
      <c r="K17" s="59" t="str">
        <f aca="false">IF(I17&lt;Paramètres!$C$11,"Cadre inférieur","Cadre supérieur")</f>
        <v>Cadre inférieur</v>
      </c>
      <c r="L17" s="57" t="n">
        <f aca="false">MIN(F17,MIN(N($E17)*Paramètres!$C$16,Paramètres!$D$16))+MIN(G17,MIN(N($E17)*Paramètres!$C$17,Paramètres!$D$17))+MIN(H17,MIN(N($E17)*Paramètres!$C$18,Paramètres!$D$18))</f>
        <v>64068</v>
      </c>
      <c r="M17" s="57" t="n">
        <f aca="false">MIN(N($E17),Paramètres!$C$7)*Paramètres!$C$6</f>
        <v>11745.965</v>
      </c>
      <c r="N17" s="57" t="n">
        <f aca="false">MIN(M17,I17*Paramètres!$C$8)</f>
        <v>11745.965</v>
      </c>
      <c r="O17" s="57" t="n">
        <f aca="false">I17*IF(K17="Cadre supérieur",Paramètres!$C$10,Paramètres!$C$9)</f>
        <v>37373.75</v>
      </c>
      <c r="P17" s="57" t="n">
        <f aca="false">MAX(0,ROUNDDOWN(N($E17)-L17-N17-O17,-2))</f>
        <v>100300</v>
      </c>
      <c r="Q17" s="57" t="n">
        <f aca="false">SUMPRODUCT((P17&gt;Paramètres!$B$21:$B$27)*(P17-Paramètres!$B$21:$B$27)*Paramètres!$E$21:$E$27)</f>
        <v>9777.1</v>
      </c>
      <c r="R17" s="57" t="n">
        <f aca="false">Q17*INDEX(Paramètres!$C$31:$C$38,MIN(MAX(INT(N(J17)),0),7)+1)</f>
        <v>0</v>
      </c>
      <c r="S17" s="60" t="n">
        <f aca="false">ROUND(Q17-R17,0)</f>
        <v>9777</v>
      </c>
      <c r="T17" s="57" t="n">
        <f aca="false">ROUND(N($E17)*Paramètres!$C$13,0)</f>
        <v>6407</v>
      </c>
      <c r="U17" s="57" t="n">
        <f aca="false">ROUND(MAX(0,N($E17)-(Q17-R17)-M17)*Paramètres!$C$12,0)</f>
        <v>1920</v>
      </c>
      <c r="V17" s="60" t="n">
        <f aca="false">ROUND(N($E17)-M17-S17-U17,0)</f>
        <v>190120</v>
      </c>
    </row>
    <row r="18" customFormat="false" ht="17.25" hidden="false" customHeight="true" outlineLevel="0" collapsed="false">
      <c r="B18" s="53" t="n">
        <v>12</v>
      </c>
      <c r="C18" s="54" t="s">
        <v>27</v>
      </c>
      <c r="D18" s="55" t="n">
        <v>46183</v>
      </c>
      <c r="E18" s="56" t="n">
        <f aca="false">'Juill-aout-sept 2026'!F16</f>
        <v>177387</v>
      </c>
      <c r="F18" s="57" t="n">
        <f aca="false">MIN(ROUNDDOWN(N($E18)*Paramètres!$C$16,0),Paramètres!$D$16)</f>
        <v>35477</v>
      </c>
      <c r="G18" s="57" t="n">
        <f aca="false">MIN(ROUNDDOWN(N($E18)*Paramètres!$C$17,0),Paramètres!$D$17)</f>
        <v>8869</v>
      </c>
      <c r="H18" s="57" t="n">
        <f aca="false">MIN(ROUNDDOWN(N($E18)*Paramètres!$C$18,0),Paramètres!$D$18)</f>
        <v>8869</v>
      </c>
      <c r="I18" s="57" t="n">
        <f aca="false">N($E18)-(F18+G18+H18)</f>
        <v>124172</v>
      </c>
      <c r="J18" s="58" t="n">
        <v>0</v>
      </c>
      <c r="K18" s="59" t="str">
        <f aca="false">IF(I18&lt;Paramètres!$C$11,"Cadre inférieur","Cadre supérieur")</f>
        <v>Cadre inférieur</v>
      </c>
      <c r="L18" s="57" t="n">
        <f aca="false">MIN(F18,MIN(N($E18)*Paramètres!$C$16,Paramètres!$D$16))+MIN(G18,MIN(N($E18)*Paramètres!$C$17,Paramètres!$D$17))+MIN(H18,MIN(N($E18)*Paramètres!$C$18,Paramètres!$D$18))</f>
        <v>53215</v>
      </c>
      <c r="M18" s="57" t="n">
        <f aca="false">MIN(N($E18),Paramètres!$C$7)*Paramètres!$C$6</f>
        <v>9756.285</v>
      </c>
      <c r="N18" s="57" t="n">
        <f aca="false">MIN(M18,I18*Paramètres!$C$8)</f>
        <v>9756.285</v>
      </c>
      <c r="O18" s="57" t="n">
        <f aca="false">I18*IF(K18="Cadre supérieur",Paramètres!$C$10,Paramètres!$C$9)</f>
        <v>31043</v>
      </c>
      <c r="P18" s="57" t="n">
        <f aca="false">MAX(0,ROUNDDOWN(N($E18)-L18-N18-O18,-2))</f>
        <v>83300</v>
      </c>
      <c r="Q18" s="57" t="n">
        <f aca="false">SUMPRODUCT((P18&gt;Paramètres!$B$21:$B$27)*(P18-Paramètres!$B$21:$B$27)*Paramètres!$E$21:$E$27)</f>
        <v>7108.1</v>
      </c>
      <c r="R18" s="57" t="n">
        <f aca="false">Q18*INDEX(Paramètres!$C$31:$C$38,MIN(MAX(INT(N(J18)),0),7)+1)</f>
        <v>0</v>
      </c>
      <c r="S18" s="60" t="n">
        <f aca="false">ROUND(Q18-R18,0)</f>
        <v>7108</v>
      </c>
      <c r="T18" s="57" t="n">
        <f aca="false">ROUND(N($E18)*Paramètres!$C$13,0)</f>
        <v>5322</v>
      </c>
      <c r="U18" s="57" t="n">
        <f aca="false">ROUND(MAX(0,N($E18)-(Q18-R18)-M18)*Paramètres!$C$12,0)</f>
        <v>1605</v>
      </c>
      <c r="V18" s="60" t="n">
        <f aca="false">ROUND(N($E18)-M18-S18-U18,0)</f>
        <v>158918</v>
      </c>
    </row>
    <row r="19" customFormat="false" ht="17.25" hidden="false" customHeight="true" outlineLevel="0" collapsed="false">
      <c r="B19" s="53"/>
      <c r="C19" s="54" t="s">
        <v>28</v>
      </c>
      <c r="D19" s="55"/>
      <c r="E19" s="56" t="n">
        <f aca="false">'Juill-aout-sept 2026'!F17</f>
        <v>0</v>
      </c>
      <c r="F19" s="57" t="n">
        <f aca="false">MIN(ROUNDDOWN(N($E19)*Paramètres!$C$16,0),Paramètres!$D$16)</f>
        <v>0</v>
      </c>
      <c r="G19" s="57" t="n">
        <f aca="false">MIN(ROUNDDOWN(N($E19)*Paramètres!$C$17,0),Paramètres!$D$17)</f>
        <v>0</v>
      </c>
      <c r="H19" s="57" t="n">
        <f aca="false">MIN(ROUNDDOWN(N($E19)*Paramètres!$C$18,0),Paramètres!$D$18)</f>
        <v>0</v>
      </c>
      <c r="I19" s="57" t="n">
        <f aca="false">N($E19)-(F19+G19+H19)</f>
        <v>0</v>
      </c>
      <c r="J19" s="58" t="n">
        <v>0</v>
      </c>
      <c r="K19" s="59" t="str">
        <f aca="false">IF(I19&lt;Paramètres!$C$11,"Cadre inférieur","Cadre supérieur")</f>
        <v>Cadre inférieur</v>
      </c>
      <c r="L19" s="57" t="n">
        <f aca="false">MIN(F19,MIN(N($E19)*Paramètres!$C$16,Paramètres!$D$16))+MIN(G19,MIN(N($E19)*Paramètres!$C$17,Paramètres!$D$17))+MIN(H19,MIN(N($E19)*Paramètres!$C$18,Paramètres!$D$18))</f>
        <v>0</v>
      </c>
      <c r="M19" s="57" t="n">
        <f aca="false">MIN(N($E19),Paramètres!$C$7)*Paramètres!$C$6</f>
        <v>0</v>
      </c>
      <c r="N19" s="57" t="n">
        <f aca="false">MIN(M19,I19*Paramètres!$C$8)</f>
        <v>0</v>
      </c>
      <c r="O19" s="57" t="n">
        <f aca="false">I19*IF(K19="Cadre supérieur",Paramètres!$C$10,Paramètres!$C$9)</f>
        <v>0</v>
      </c>
      <c r="P19" s="57" t="n">
        <f aca="false">MAX(0,ROUNDDOWN(N($E19)-L19-N19-O19,-2))</f>
        <v>0</v>
      </c>
      <c r="Q19" s="57" t="n">
        <f aca="false">SUMPRODUCT((P19&gt;Paramètres!$B$21:$B$27)*(P19-Paramètres!$B$21:$B$27)*Paramètres!$E$21:$E$27)</f>
        <v>0</v>
      </c>
      <c r="R19" s="57" t="n">
        <f aca="false">Q19*INDEX(Paramètres!$C$31:$C$38,MIN(MAX(INT(N(J19)),0),7)+1)</f>
        <v>0</v>
      </c>
      <c r="S19" s="60" t="n">
        <f aca="false">ROUND(Q19-R19,0)</f>
        <v>0</v>
      </c>
      <c r="T19" s="57" t="n">
        <f aca="false">ROUND(N($E19)*Paramètres!$C$13,0)</f>
        <v>0</v>
      </c>
      <c r="U19" s="57" t="n">
        <f aca="false">ROUND(MAX(0,N($E19)-(Q19-R19)-M19)*Paramètres!$C$12,0)</f>
        <v>0</v>
      </c>
      <c r="V19" s="60" t="n">
        <f aca="false">ROUND(N($E19)-M19-S19-U19,0)</f>
        <v>0</v>
      </c>
    </row>
    <row r="20" customFormat="false" ht="17.25" hidden="false" customHeight="true" outlineLevel="0" collapsed="false">
      <c r="B20" s="53" t="n">
        <v>13</v>
      </c>
      <c r="C20" s="54" t="s">
        <v>29</v>
      </c>
      <c r="D20" s="55" t="n">
        <v>45950</v>
      </c>
      <c r="E20" s="56" t="n">
        <f aca="false">'Juill-aout-sept 2026'!F18</f>
        <v>177387</v>
      </c>
      <c r="F20" s="57" t="n">
        <f aca="false">MIN(ROUNDDOWN(N($E20)*Paramètres!$C$16,0),Paramètres!$D$16)</f>
        <v>35477</v>
      </c>
      <c r="G20" s="57" t="n">
        <f aca="false">MIN(ROUNDDOWN(N($E20)*Paramètres!$C$17,0),Paramètres!$D$17)</f>
        <v>8869</v>
      </c>
      <c r="H20" s="57" t="n">
        <f aca="false">MIN(ROUNDDOWN(N($E20)*Paramètres!$C$18,0),Paramètres!$D$18)</f>
        <v>8869</v>
      </c>
      <c r="I20" s="57" t="n">
        <f aca="false">N($E20)-(F20+G20+H20)</f>
        <v>124172</v>
      </c>
      <c r="J20" s="58" t="n">
        <v>0</v>
      </c>
      <c r="K20" s="59" t="str">
        <f aca="false">IF(I20&lt;Paramètres!$C$11,"Cadre inférieur","Cadre supérieur")</f>
        <v>Cadre inférieur</v>
      </c>
      <c r="L20" s="57" t="n">
        <f aca="false">MIN(F20,MIN(N($E20)*Paramètres!$C$16,Paramètres!$D$16))+MIN(G20,MIN(N($E20)*Paramètres!$C$17,Paramètres!$D$17))+MIN(H20,MIN(N($E20)*Paramètres!$C$18,Paramètres!$D$18))</f>
        <v>53215</v>
      </c>
      <c r="M20" s="57" t="n">
        <f aca="false">MIN(N($E20),Paramètres!$C$7)*Paramètres!$C$6</f>
        <v>9756.285</v>
      </c>
      <c r="N20" s="57" t="n">
        <f aca="false">MIN(M20,I20*Paramètres!$C$8)</f>
        <v>9756.285</v>
      </c>
      <c r="O20" s="57" t="n">
        <f aca="false">I20*IF(K20="Cadre supérieur",Paramètres!$C$10,Paramètres!$C$9)</f>
        <v>31043</v>
      </c>
      <c r="P20" s="57" t="n">
        <f aca="false">MAX(0,ROUNDDOWN(N($E20)-L20-N20-O20,-2))</f>
        <v>83300</v>
      </c>
      <c r="Q20" s="57" t="n">
        <f aca="false">SUMPRODUCT((P20&gt;Paramètres!$B$21:$B$27)*(P20-Paramètres!$B$21:$B$27)*Paramètres!$E$21:$E$27)</f>
        <v>7108.1</v>
      </c>
      <c r="R20" s="57" t="n">
        <f aca="false">Q20*INDEX(Paramètres!$C$31:$C$38,MIN(MAX(INT(N(J20)),0),7)+1)</f>
        <v>0</v>
      </c>
      <c r="S20" s="60" t="n">
        <f aca="false">ROUND(Q20-R20,0)</f>
        <v>7108</v>
      </c>
      <c r="T20" s="57" t="n">
        <f aca="false">ROUND(N($E20)*Paramètres!$C$13,0)</f>
        <v>5322</v>
      </c>
      <c r="U20" s="57" t="n">
        <f aca="false">ROUND(MAX(0,N($E20)-(Q20-R20)-M20)*Paramètres!$C$12,0)</f>
        <v>1605</v>
      </c>
      <c r="V20" s="60" t="n">
        <f aca="false">ROUND(N($E20)-M20-S20-U20,0)</f>
        <v>158918</v>
      </c>
    </row>
    <row r="21" customFormat="false" ht="17.25" hidden="false" customHeight="true" outlineLevel="0" collapsed="false">
      <c r="B21" s="53" t="n">
        <v>14</v>
      </c>
      <c r="C21" s="54" t="s">
        <v>30</v>
      </c>
      <c r="D21" s="55" t="n">
        <v>46183</v>
      </c>
      <c r="E21" s="56" t="n">
        <f aca="false">'Juill-aout-sept 2026'!F19</f>
        <v>177387</v>
      </c>
      <c r="F21" s="57" t="n">
        <f aca="false">MIN(ROUNDDOWN(N($E21)*Paramètres!$C$16,0),Paramètres!$D$16)</f>
        <v>35477</v>
      </c>
      <c r="G21" s="57" t="n">
        <f aca="false">MIN(ROUNDDOWN(N($E21)*Paramètres!$C$17,0),Paramètres!$D$17)</f>
        <v>8869</v>
      </c>
      <c r="H21" s="57" t="n">
        <f aca="false">MIN(ROUNDDOWN(N($E21)*Paramètres!$C$18,0),Paramètres!$D$18)</f>
        <v>8869</v>
      </c>
      <c r="I21" s="57" t="n">
        <f aca="false">N($E21)-(F21+G21+H21)</f>
        <v>124172</v>
      </c>
      <c r="J21" s="58" t="n">
        <v>0</v>
      </c>
      <c r="K21" s="59" t="str">
        <f aca="false">IF(I21&lt;Paramètres!$C$11,"Cadre inférieur","Cadre supérieur")</f>
        <v>Cadre inférieur</v>
      </c>
      <c r="L21" s="57" t="n">
        <f aca="false">MIN(F21,MIN(N($E21)*Paramètres!$C$16,Paramètres!$D$16))+MIN(G21,MIN(N($E21)*Paramètres!$C$17,Paramètres!$D$17))+MIN(H21,MIN(N($E21)*Paramètres!$C$18,Paramètres!$D$18))</f>
        <v>53215</v>
      </c>
      <c r="M21" s="57" t="n">
        <f aca="false">MIN(N($E21),Paramètres!$C$7)*Paramètres!$C$6</f>
        <v>9756.285</v>
      </c>
      <c r="N21" s="57" t="n">
        <f aca="false">MIN(M21,I21*Paramètres!$C$8)</f>
        <v>9756.285</v>
      </c>
      <c r="O21" s="57" t="n">
        <f aca="false">I21*IF(K21="Cadre supérieur",Paramètres!$C$10,Paramètres!$C$9)</f>
        <v>31043</v>
      </c>
      <c r="P21" s="57" t="n">
        <f aca="false">MAX(0,ROUNDDOWN(N($E21)-L21-N21-O21,-2))</f>
        <v>83300</v>
      </c>
      <c r="Q21" s="57" t="n">
        <f aca="false">SUMPRODUCT((P21&gt;Paramètres!$B$21:$B$27)*(P21-Paramètres!$B$21:$B$27)*Paramètres!$E$21:$E$27)</f>
        <v>7108.1</v>
      </c>
      <c r="R21" s="57" t="n">
        <f aca="false">Q21*INDEX(Paramètres!$C$31:$C$38,MIN(MAX(INT(N(J21)),0),7)+1)</f>
        <v>0</v>
      </c>
      <c r="S21" s="60" t="n">
        <f aca="false">ROUND(Q21-R21,0)</f>
        <v>7108</v>
      </c>
      <c r="T21" s="57" t="n">
        <f aca="false">ROUND(N($E21)*Paramètres!$C$13,0)</f>
        <v>5322</v>
      </c>
      <c r="U21" s="57" t="n">
        <f aca="false">ROUND(MAX(0,N($E21)-(Q21-R21)-M21)*Paramètres!$C$12,0)</f>
        <v>1605</v>
      </c>
      <c r="V21" s="60" t="n">
        <f aca="false">ROUND(N($E21)-M21-S21-U21,0)</f>
        <v>158918</v>
      </c>
    </row>
    <row r="22" customFormat="false" ht="17.25" hidden="false" customHeight="true" outlineLevel="0" collapsed="false">
      <c r="B22" s="53" t="n">
        <v>15</v>
      </c>
      <c r="C22" s="54" t="s">
        <v>31</v>
      </c>
      <c r="D22" s="55" t="n">
        <v>46139</v>
      </c>
      <c r="E22" s="56" t="n">
        <f aca="false">'Juill-aout-sept 2026'!F20</f>
        <v>135983</v>
      </c>
      <c r="F22" s="57" t="n">
        <f aca="false">MIN(ROUNDDOWN(N($E22)*Paramètres!$C$16,0),Paramètres!$D$16)</f>
        <v>27196</v>
      </c>
      <c r="G22" s="57" t="n">
        <f aca="false">MIN(ROUNDDOWN(N($E22)*Paramètres!$C$17,0),Paramètres!$D$17)</f>
        <v>6799</v>
      </c>
      <c r="H22" s="57" t="n">
        <f aca="false">MIN(ROUNDDOWN(N($E22)*Paramètres!$C$18,0),Paramètres!$D$18)</f>
        <v>6799</v>
      </c>
      <c r="I22" s="57" t="n">
        <f aca="false">N($E22)-(F22+G22+H22)</f>
        <v>95189</v>
      </c>
      <c r="J22" s="58" t="n">
        <v>0</v>
      </c>
      <c r="K22" s="59" t="str">
        <f aca="false">IF(I22&lt;Paramètres!$C$11,"Cadre inférieur","Cadre supérieur")</f>
        <v>Cadre inférieur</v>
      </c>
      <c r="L22" s="57" t="n">
        <f aca="false">MIN(F22,MIN(N($E22)*Paramètres!$C$16,Paramètres!$D$16))+MIN(G22,MIN(N($E22)*Paramètres!$C$17,Paramètres!$D$17))+MIN(H22,MIN(N($E22)*Paramètres!$C$18,Paramètres!$D$18))</f>
        <v>40794</v>
      </c>
      <c r="M22" s="57" t="n">
        <f aca="false">MIN(N($E22),Paramètres!$C$7)*Paramètres!$C$6</f>
        <v>7479.065</v>
      </c>
      <c r="N22" s="57" t="n">
        <f aca="false">MIN(M22,I22*Paramètres!$C$8)</f>
        <v>7479.065</v>
      </c>
      <c r="O22" s="57" t="n">
        <f aca="false">I22*IF(K22="Cadre supérieur",Paramètres!$C$10,Paramètres!$C$9)</f>
        <v>23797.25</v>
      </c>
      <c r="P22" s="57" t="n">
        <f aca="false">MAX(0,ROUNDDOWN(N($E22)-L22-N22-O22,-2))</f>
        <v>63900</v>
      </c>
      <c r="Q22" s="57" t="n">
        <f aca="false">SUMPRODUCT((P22&gt;Paramètres!$B$21:$B$27)*(P22-Paramètres!$B$21:$B$27)*Paramètres!$E$21:$E$27)</f>
        <v>4352.1</v>
      </c>
      <c r="R22" s="57" t="n">
        <f aca="false">Q22*INDEX(Paramètres!$C$31:$C$38,MIN(MAX(INT(N(J22)),0),7)+1)</f>
        <v>0</v>
      </c>
      <c r="S22" s="60" t="n">
        <f aca="false">ROUND(Q22-R22,0)</f>
        <v>4352</v>
      </c>
      <c r="T22" s="57" t="n">
        <f aca="false">ROUND(N($E22)*Paramètres!$C$13,0)</f>
        <v>4079</v>
      </c>
      <c r="U22" s="57" t="n">
        <f aca="false">ROUND(MAX(0,N($E22)-(Q22-R22)-M22)*Paramètres!$C$12,0)</f>
        <v>1242</v>
      </c>
      <c r="V22" s="60" t="n">
        <f aca="false">ROUND(N($E22)-M22-S22-U22,0)</f>
        <v>122910</v>
      </c>
    </row>
    <row r="23" customFormat="false" ht="17.25" hidden="false" customHeight="true" outlineLevel="0" collapsed="false">
      <c r="B23" s="53" t="n">
        <v>16</v>
      </c>
      <c r="C23" s="54" t="s">
        <v>32</v>
      </c>
      <c r="D23" s="55" t="n">
        <v>45809</v>
      </c>
      <c r="E23" s="56" t="n">
        <f aca="false">'Juill-aout-sept 2026'!F21</f>
        <v>135983</v>
      </c>
      <c r="F23" s="57" t="n">
        <f aca="false">MIN(ROUNDDOWN(N($E23)*Paramètres!$C$16,0),Paramètres!$D$16)</f>
        <v>27196</v>
      </c>
      <c r="G23" s="57" t="n">
        <f aca="false">MIN(ROUNDDOWN(N($E23)*Paramètres!$C$17,0),Paramètres!$D$17)</f>
        <v>6799</v>
      </c>
      <c r="H23" s="57" t="n">
        <f aca="false">MIN(ROUNDDOWN(N($E23)*Paramètres!$C$18,0),Paramètres!$D$18)</f>
        <v>6799</v>
      </c>
      <c r="I23" s="57" t="n">
        <f aca="false">N($E23)-(F23+G23+H23)</f>
        <v>95189</v>
      </c>
      <c r="J23" s="58" t="n">
        <v>0</v>
      </c>
      <c r="K23" s="59" t="str">
        <f aca="false">IF(I23&lt;Paramètres!$C$11,"Cadre inférieur","Cadre supérieur")</f>
        <v>Cadre inférieur</v>
      </c>
      <c r="L23" s="57" t="n">
        <f aca="false">MIN(F23,MIN(N($E23)*Paramètres!$C$16,Paramètres!$D$16))+MIN(G23,MIN(N($E23)*Paramètres!$C$17,Paramètres!$D$17))+MIN(H23,MIN(N($E23)*Paramètres!$C$18,Paramètres!$D$18))</f>
        <v>40794</v>
      </c>
      <c r="M23" s="57" t="n">
        <f aca="false">MIN(N($E23),Paramètres!$C$7)*Paramètres!$C$6</f>
        <v>7479.065</v>
      </c>
      <c r="N23" s="57" t="n">
        <f aca="false">MIN(M23,I23*Paramètres!$C$8)</f>
        <v>7479.065</v>
      </c>
      <c r="O23" s="57" t="n">
        <f aca="false">I23*IF(K23="Cadre supérieur",Paramètres!$C$10,Paramètres!$C$9)</f>
        <v>23797.25</v>
      </c>
      <c r="P23" s="57" t="n">
        <f aca="false">MAX(0,ROUNDDOWN(N($E23)-L23-N23-O23,-2))</f>
        <v>63900</v>
      </c>
      <c r="Q23" s="57" t="n">
        <f aca="false">SUMPRODUCT((P23&gt;Paramètres!$B$21:$B$27)*(P23-Paramètres!$B$21:$B$27)*Paramètres!$E$21:$E$27)</f>
        <v>4352.1</v>
      </c>
      <c r="R23" s="57" t="n">
        <f aca="false">Q23*INDEX(Paramètres!$C$31:$C$38,MIN(MAX(INT(N(J23)),0),7)+1)</f>
        <v>0</v>
      </c>
      <c r="S23" s="60" t="n">
        <f aca="false">ROUND(Q23-R23,0)</f>
        <v>4352</v>
      </c>
      <c r="T23" s="57" t="n">
        <f aca="false">ROUND(N($E23)*Paramètres!$C$13,0)</f>
        <v>4079</v>
      </c>
      <c r="U23" s="57" t="n">
        <f aca="false">ROUND(MAX(0,N($E23)-(Q23-R23)-M23)*Paramètres!$C$12,0)</f>
        <v>1242</v>
      </c>
      <c r="V23" s="60" t="n">
        <f aca="false">ROUND(N($E23)-M23-S23-U23,0)</f>
        <v>122910</v>
      </c>
    </row>
    <row r="24" customFormat="false" ht="17.25" hidden="false" customHeight="true" outlineLevel="0" collapsed="false">
      <c r="B24" s="53" t="n">
        <v>17</v>
      </c>
      <c r="C24" s="54" t="s">
        <v>33</v>
      </c>
      <c r="D24" s="55" t="n">
        <v>46174</v>
      </c>
      <c r="E24" s="56" t="n">
        <f aca="false">'Juill-aout-sept 2026'!F22</f>
        <v>177387</v>
      </c>
      <c r="F24" s="57" t="n">
        <f aca="false">MIN(ROUNDDOWN(N($E24)*Paramètres!$C$16,0),Paramètres!$D$16)</f>
        <v>35477</v>
      </c>
      <c r="G24" s="57" t="n">
        <f aca="false">MIN(ROUNDDOWN(N($E24)*Paramètres!$C$17,0),Paramètres!$D$17)</f>
        <v>8869</v>
      </c>
      <c r="H24" s="57" t="n">
        <f aca="false">MIN(ROUNDDOWN(N($E24)*Paramètres!$C$18,0),Paramètres!$D$18)</f>
        <v>8869</v>
      </c>
      <c r="I24" s="57" t="n">
        <f aca="false">N($E24)-(F24+G24+H24)</f>
        <v>124172</v>
      </c>
      <c r="J24" s="58" t="n">
        <v>0</v>
      </c>
      <c r="K24" s="59" t="str">
        <f aca="false">IF(I24&lt;Paramètres!$C$11,"Cadre inférieur","Cadre supérieur")</f>
        <v>Cadre inférieur</v>
      </c>
      <c r="L24" s="57" t="n">
        <f aca="false">MIN(F24,MIN(N($E24)*Paramètres!$C$16,Paramètres!$D$16))+MIN(G24,MIN(N($E24)*Paramètres!$C$17,Paramètres!$D$17))+MIN(H24,MIN(N($E24)*Paramètres!$C$18,Paramètres!$D$18))</f>
        <v>53215</v>
      </c>
      <c r="M24" s="57" t="n">
        <f aca="false">MIN(N($E24),Paramètres!$C$7)*Paramètres!$C$6</f>
        <v>9756.285</v>
      </c>
      <c r="N24" s="57" t="n">
        <f aca="false">MIN(M24,I24*Paramètres!$C$8)</f>
        <v>9756.285</v>
      </c>
      <c r="O24" s="57" t="n">
        <f aca="false">I24*IF(K24="Cadre supérieur",Paramètres!$C$10,Paramètres!$C$9)</f>
        <v>31043</v>
      </c>
      <c r="P24" s="57" t="n">
        <f aca="false">MAX(0,ROUNDDOWN(N($E24)-L24-N24-O24,-2))</f>
        <v>83300</v>
      </c>
      <c r="Q24" s="57" t="n">
        <f aca="false">SUMPRODUCT((P24&gt;Paramètres!$B$21:$B$27)*(P24-Paramètres!$B$21:$B$27)*Paramètres!$E$21:$E$27)</f>
        <v>7108.1</v>
      </c>
      <c r="R24" s="57" t="n">
        <f aca="false">Q24*INDEX(Paramètres!$C$31:$C$38,MIN(MAX(INT(N(J24)),0),7)+1)</f>
        <v>0</v>
      </c>
      <c r="S24" s="60" t="n">
        <f aca="false">ROUND(Q24-R24,0)</f>
        <v>7108</v>
      </c>
      <c r="T24" s="57" t="n">
        <f aca="false">ROUND(N($E24)*Paramètres!$C$13,0)</f>
        <v>5322</v>
      </c>
      <c r="U24" s="57" t="n">
        <f aca="false">ROUND(MAX(0,N($E24)-(Q24-R24)-M24)*Paramètres!$C$12,0)</f>
        <v>1605</v>
      </c>
      <c r="V24" s="60" t="n">
        <f aca="false">ROUND(N($E24)-M24-S24-U24,0)</f>
        <v>158918</v>
      </c>
    </row>
    <row r="25" customFormat="false" ht="17.25" hidden="false" customHeight="true" outlineLevel="0" collapsed="false">
      <c r="B25" s="53" t="n">
        <v>18</v>
      </c>
      <c r="C25" s="54" t="s">
        <v>34</v>
      </c>
      <c r="D25" s="55" t="n">
        <v>45924</v>
      </c>
      <c r="E25" s="56" t="n">
        <f aca="false">'Juill-aout-sept 2026'!F23</f>
        <v>0</v>
      </c>
      <c r="F25" s="57" t="n">
        <f aca="false">MIN(ROUNDDOWN(N($E25)*Paramètres!$C$16,0),Paramètres!$D$16)</f>
        <v>0</v>
      </c>
      <c r="G25" s="57" t="n">
        <f aca="false">MIN(ROUNDDOWN(N($E25)*Paramètres!$C$17,0),Paramètres!$D$17)</f>
        <v>0</v>
      </c>
      <c r="H25" s="57" t="n">
        <f aca="false">MIN(ROUNDDOWN(N($E25)*Paramètres!$C$18,0),Paramètres!$D$18)</f>
        <v>0</v>
      </c>
      <c r="I25" s="57" t="n">
        <f aca="false">N($E25)-(F25+G25+H25)</f>
        <v>0</v>
      </c>
      <c r="J25" s="58" t="n">
        <v>0</v>
      </c>
      <c r="K25" s="59" t="str">
        <f aca="false">IF(I25&lt;Paramètres!$C$11,"Cadre inférieur","Cadre supérieur")</f>
        <v>Cadre inférieur</v>
      </c>
      <c r="L25" s="57" t="n">
        <f aca="false">MIN(F25,MIN(N($E25)*Paramètres!$C$16,Paramètres!$D$16))+MIN(G25,MIN(N($E25)*Paramètres!$C$17,Paramètres!$D$17))+MIN(H25,MIN(N($E25)*Paramètres!$C$18,Paramètres!$D$18))</f>
        <v>0</v>
      </c>
      <c r="M25" s="57" t="n">
        <f aca="false">MIN(N($E25),Paramètres!$C$7)*Paramètres!$C$6</f>
        <v>0</v>
      </c>
      <c r="N25" s="57" t="n">
        <f aca="false">MIN(M25,I25*Paramètres!$C$8)</f>
        <v>0</v>
      </c>
      <c r="O25" s="57" t="n">
        <f aca="false">I25*IF(K25="Cadre supérieur",Paramètres!$C$10,Paramètres!$C$9)</f>
        <v>0</v>
      </c>
      <c r="P25" s="57" t="n">
        <f aca="false">MAX(0,ROUNDDOWN(N($E25)-L25-N25-O25,-2))</f>
        <v>0</v>
      </c>
      <c r="Q25" s="57" t="n">
        <f aca="false">SUMPRODUCT((P25&gt;Paramètres!$B$21:$B$27)*(P25-Paramètres!$B$21:$B$27)*Paramètres!$E$21:$E$27)</f>
        <v>0</v>
      </c>
      <c r="R25" s="57" t="n">
        <f aca="false">Q25*INDEX(Paramètres!$C$31:$C$38,MIN(MAX(INT(N(J25)),0),7)+1)</f>
        <v>0</v>
      </c>
      <c r="S25" s="60" t="n">
        <f aca="false">ROUND(Q25-R25,0)</f>
        <v>0</v>
      </c>
      <c r="T25" s="57" t="n">
        <f aca="false">ROUND(N($E25)*Paramètres!$C$13,0)</f>
        <v>0</v>
      </c>
      <c r="U25" s="57" t="n">
        <f aca="false">ROUND(MAX(0,N($E25)-(Q25-R25)-M25)*Paramètres!$C$12,0)</f>
        <v>0</v>
      </c>
      <c r="V25" s="60" t="n">
        <f aca="false">ROUND(N($E25)-M25-S25-U25,0)</f>
        <v>0</v>
      </c>
    </row>
    <row r="26" customFormat="false" ht="17.25" hidden="false" customHeight="true" outlineLevel="0" collapsed="false">
      <c r="B26" s="53" t="n">
        <v>19</v>
      </c>
      <c r="C26" s="54" t="s">
        <v>35</v>
      </c>
      <c r="D26" s="55" t="n">
        <v>46216</v>
      </c>
      <c r="E26" s="56" t="n">
        <f aca="false">'Juill-aout-sept 2026'!F24</f>
        <v>225778</v>
      </c>
      <c r="F26" s="57" t="n">
        <f aca="false">MIN(ROUNDDOWN(N($E26)*Paramètres!$C$16,0),Paramètres!$D$16)</f>
        <v>45155</v>
      </c>
      <c r="G26" s="57" t="n">
        <f aca="false">MIN(ROUNDDOWN(N($E26)*Paramètres!$C$17,0),Paramètres!$D$17)</f>
        <v>11288</v>
      </c>
      <c r="H26" s="57" t="n">
        <f aca="false">MIN(ROUNDDOWN(N($E26)*Paramètres!$C$18,0),Paramètres!$D$18)</f>
        <v>11288</v>
      </c>
      <c r="I26" s="57" t="n">
        <f aca="false">N($E26)-(F26+G26+H26)</f>
        <v>158047</v>
      </c>
      <c r="J26" s="58" t="n">
        <v>0</v>
      </c>
      <c r="K26" s="59" t="str">
        <f aca="false">IF(I26&lt;Paramètres!$C$11,"Cadre inférieur","Cadre supérieur")</f>
        <v>Cadre supérieur</v>
      </c>
      <c r="L26" s="57" t="n">
        <f aca="false">MIN(F26,MIN(N($E26)*Paramètres!$C$16,Paramètres!$D$16))+MIN(G26,MIN(N($E26)*Paramètres!$C$17,Paramètres!$D$17))+MIN(H26,MIN(N($E26)*Paramètres!$C$18,Paramètres!$D$18))</f>
        <v>67731</v>
      </c>
      <c r="M26" s="57" t="n">
        <f aca="false">MIN(N($E26),Paramètres!$C$7)*Paramètres!$C$6</f>
        <v>12417.79</v>
      </c>
      <c r="N26" s="57" t="n">
        <f aca="false">MIN(M26,I26*Paramètres!$C$8)</f>
        <v>12417.79</v>
      </c>
      <c r="O26" s="57" t="n">
        <f aca="false">I26*IF(K26="Cadre supérieur",Paramètres!$C$10,Paramètres!$C$9)</f>
        <v>31609.4</v>
      </c>
      <c r="P26" s="57" t="n">
        <f aca="false">MAX(0,ROUNDDOWN(N($E26)-L26-N26-O26,-2))</f>
        <v>114000</v>
      </c>
      <c r="Q26" s="57" t="n">
        <f aca="false">SUMPRODUCT((P26&gt;Paramètres!$B$21:$B$27)*(P26-Paramètres!$B$21:$B$27)*Paramètres!$E$21:$E$27)</f>
        <v>11928</v>
      </c>
      <c r="R26" s="57" t="n">
        <f aca="false">Q26*INDEX(Paramètres!$C$31:$C$38,MIN(MAX(INT(N(J26)),0),7)+1)</f>
        <v>0</v>
      </c>
      <c r="S26" s="60" t="n">
        <f aca="false">ROUND(Q26-R26,0)</f>
        <v>11928</v>
      </c>
      <c r="T26" s="57" t="n">
        <f aca="false">ROUND(N($E26)*Paramètres!$C$13,0)</f>
        <v>6773</v>
      </c>
      <c r="U26" s="57" t="n">
        <f aca="false">ROUND(MAX(0,N($E26)-(Q26-R26)-M26)*Paramètres!$C$12,0)</f>
        <v>2014</v>
      </c>
      <c r="V26" s="60" t="n">
        <f aca="false">ROUND(N($E26)-M26-S26-U26,0)</f>
        <v>199418</v>
      </c>
    </row>
    <row r="27" customFormat="false" ht="17.25" hidden="false" customHeight="true" outlineLevel="0" collapsed="false">
      <c r="B27" s="53" t="n">
        <v>20</v>
      </c>
      <c r="C27" s="54" t="s">
        <v>10</v>
      </c>
      <c r="D27" s="55" t="n">
        <v>46000</v>
      </c>
      <c r="E27" s="56" t="n">
        <f aca="false">'Juill-aout-sept 2026'!F25</f>
        <v>177387</v>
      </c>
      <c r="F27" s="57" t="n">
        <f aca="false">MIN(ROUNDDOWN(N($E27)*Paramètres!$C$16,0),Paramètres!$D$16)</f>
        <v>35477</v>
      </c>
      <c r="G27" s="57" t="n">
        <f aca="false">MIN(ROUNDDOWN(N($E27)*Paramètres!$C$17,0),Paramètres!$D$17)</f>
        <v>8869</v>
      </c>
      <c r="H27" s="57" t="n">
        <f aca="false">MIN(ROUNDDOWN(N($E27)*Paramètres!$C$18,0),Paramètres!$D$18)</f>
        <v>8869</v>
      </c>
      <c r="I27" s="57" t="n">
        <f aca="false">N($E27)-(F27+G27+H27)</f>
        <v>124172</v>
      </c>
      <c r="J27" s="58" t="n">
        <v>0</v>
      </c>
      <c r="K27" s="59" t="str">
        <f aca="false">IF(I27&lt;Paramètres!$C$11,"Cadre inférieur","Cadre supérieur")</f>
        <v>Cadre inférieur</v>
      </c>
      <c r="L27" s="57" t="n">
        <f aca="false">MIN(F27,MIN(N($E27)*Paramètres!$C$16,Paramètres!$D$16))+MIN(G27,MIN(N($E27)*Paramètres!$C$17,Paramètres!$D$17))+MIN(H27,MIN(N($E27)*Paramètres!$C$18,Paramètres!$D$18))</f>
        <v>53215</v>
      </c>
      <c r="M27" s="57" t="n">
        <f aca="false">MIN(N($E27),Paramètres!$C$7)*Paramètres!$C$6</f>
        <v>9756.285</v>
      </c>
      <c r="N27" s="57" t="n">
        <f aca="false">MIN(M27,I27*Paramètres!$C$8)</f>
        <v>9756.285</v>
      </c>
      <c r="O27" s="57" t="n">
        <f aca="false">I27*IF(K27="Cadre supérieur",Paramètres!$C$10,Paramètres!$C$9)</f>
        <v>31043</v>
      </c>
      <c r="P27" s="57" t="n">
        <f aca="false">MAX(0,ROUNDDOWN(N($E27)-L27-N27-O27,-2))</f>
        <v>83300</v>
      </c>
      <c r="Q27" s="57" t="n">
        <f aca="false">SUMPRODUCT((P27&gt;Paramètres!$B$21:$B$27)*(P27-Paramètres!$B$21:$B$27)*Paramètres!$E$21:$E$27)</f>
        <v>7108.1</v>
      </c>
      <c r="R27" s="57" t="n">
        <f aca="false">Q27*INDEX(Paramètres!$C$31:$C$38,MIN(MAX(INT(N(J27)),0),7)+1)</f>
        <v>0</v>
      </c>
      <c r="S27" s="60" t="n">
        <f aca="false">ROUND(Q27-R27,0)</f>
        <v>7108</v>
      </c>
      <c r="T27" s="57" t="n">
        <f aca="false">ROUND(N($E27)*Paramètres!$C$13,0)</f>
        <v>5322</v>
      </c>
      <c r="U27" s="57" t="n">
        <f aca="false">ROUND(MAX(0,N($E27)-(Q27-R27)-M27)*Paramètres!$C$12,0)</f>
        <v>1605</v>
      </c>
      <c r="V27" s="60" t="n">
        <f aca="false">ROUND(N($E27)-M27-S27-U27,0)</f>
        <v>158918</v>
      </c>
    </row>
    <row r="28" customFormat="false" ht="17.25" hidden="false" customHeight="true" outlineLevel="0" collapsed="false">
      <c r="B28" s="53" t="n">
        <v>21</v>
      </c>
      <c r="C28" s="54" t="s">
        <v>36</v>
      </c>
      <c r="D28" s="55" t="n">
        <v>46283</v>
      </c>
      <c r="E28" s="56" t="n">
        <f aca="false">'Juill-aout-sept 2026'!F26</f>
        <v>0</v>
      </c>
      <c r="F28" s="57" t="n">
        <f aca="false">MIN(ROUNDDOWN(N($E28)*Paramètres!$C$16,0),Paramètres!$D$16)</f>
        <v>0</v>
      </c>
      <c r="G28" s="57" t="n">
        <f aca="false">MIN(ROUNDDOWN(N($E28)*Paramètres!$C$17,0),Paramètres!$D$17)</f>
        <v>0</v>
      </c>
      <c r="H28" s="57" t="n">
        <f aca="false">MIN(ROUNDDOWN(N($E28)*Paramètres!$C$18,0),Paramètres!$D$18)</f>
        <v>0</v>
      </c>
      <c r="I28" s="57" t="n">
        <f aca="false">N($E28)-(F28+G28+H28)</f>
        <v>0</v>
      </c>
      <c r="J28" s="58" t="n">
        <v>0</v>
      </c>
      <c r="K28" s="59" t="str">
        <f aca="false">IF(I28&lt;Paramètres!$C$11,"Cadre inférieur","Cadre supérieur")</f>
        <v>Cadre inférieur</v>
      </c>
      <c r="L28" s="57" t="n">
        <f aca="false">MIN(F28,MIN(N($E28)*Paramètres!$C$16,Paramètres!$D$16))+MIN(G28,MIN(N($E28)*Paramètres!$C$17,Paramètres!$D$17))+MIN(H28,MIN(N($E28)*Paramètres!$C$18,Paramètres!$D$18))</f>
        <v>0</v>
      </c>
      <c r="M28" s="57" t="n">
        <f aca="false">MIN(N($E28),Paramètres!$C$7)*Paramètres!$C$6</f>
        <v>0</v>
      </c>
      <c r="N28" s="57" t="n">
        <f aca="false">MIN(M28,I28*Paramètres!$C$8)</f>
        <v>0</v>
      </c>
      <c r="O28" s="57" t="n">
        <f aca="false">I28*IF(K28="Cadre supérieur",Paramètres!$C$10,Paramètres!$C$9)</f>
        <v>0</v>
      </c>
      <c r="P28" s="57" t="n">
        <f aca="false">MAX(0,ROUNDDOWN(N($E28)-L28-N28-O28,-2))</f>
        <v>0</v>
      </c>
      <c r="Q28" s="57" t="n">
        <f aca="false">SUMPRODUCT((P28&gt;Paramètres!$B$21:$B$27)*(P28-Paramètres!$B$21:$B$27)*Paramètres!$E$21:$E$27)</f>
        <v>0</v>
      </c>
      <c r="R28" s="57" t="n">
        <f aca="false">Q28*INDEX(Paramètres!$C$31:$C$38,MIN(MAX(INT(N(J28)),0),7)+1)</f>
        <v>0</v>
      </c>
      <c r="S28" s="60" t="n">
        <f aca="false">ROUND(Q28-R28,0)</f>
        <v>0</v>
      </c>
      <c r="T28" s="57" t="n">
        <f aca="false">ROUND(N($E28)*Paramètres!$C$13,0)</f>
        <v>0</v>
      </c>
      <c r="U28" s="57" t="n">
        <f aca="false">ROUND(MAX(0,N($E28)-(Q28-R28)-M28)*Paramètres!$C$12,0)</f>
        <v>0</v>
      </c>
      <c r="V28" s="60" t="n">
        <f aca="false">ROUND(N($E28)-M28-S28-U28,0)</f>
        <v>0</v>
      </c>
    </row>
    <row r="29" customFormat="false" ht="17.25" hidden="false" customHeight="true" outlineLevel="0" collapsed="false">
      <c r="B29" s="53" t="n">
        <v>22</v>
      </c>
      <c r="C29" s="54" t="s">
        <v>37</v>
      </c>
      <c r="D29" s="55" t="n">
        <v>46204</v>
      </c>
      <c r="E29" s="56" t="n">
        <f aca="false">'Juill-aout-sept 2026'!F27</f>
        <v>231913</v>
      </c>
      <c r="F29" s="57" t="n">
        <f aca="false">MIN(ROUNDDOWN(N($E29)*Paramètres!$C$16,0),Paramètres!$D$16)</f>
        <v>46382</v>
      </c>
      <c r="G29" s="57" t="n">
        <f aca="false">MIN(ROUNDDOWN(N($E29)*Paramètres!$C$17,0),Paramètres!$D$17)</f>
        <v>11595</v>
      </c>
      <c r="H29" s="57" t="n">
        <f aca="false">MIN(ROUNDDOWN(N($E29)*Paramètres!$C$18,0),Paramètres!$D$18)</f>
        <v>11595</v>
      </c>
      <c r="I29" s="57" t="n">
        <f aca="false">N($E29)-(F29+G29+H29)</f>
        <v>162341</v>
      </c>
      <c r="J29" s="58" t="n">
        <v>0</v>
      </c>
      <c r="K29" s="59" t="str">
        <f aca="false">IF(I29&lt;Paramètres!$C$11,"Cadre inférieur","Cadre supérieur")</f>
        <v>Cadre supérieur</v>
      </c>
      <c r="L29" s="57" t="n">
        <f aca="false">MIN(F29,MIN(N($E29)*Paramètres!$C$16,Paramètres!$D$16))+MIN(G29,MIN(N($E29)*Paramètres!$C$17,Paramètres!$D$17))+MIN(H29,MIN(N($E29)*Paramètres!$C$18,Paramètres!$D$18))</f>
        <v>69572</v>
      </c>
      <c r="M29" s="57" t="n">
        <f aca="false">MIN(N($E29),Paramètres!$C$7)*Paramètres!$C$6</f>
        <v>12755.215</v>
      </c>
      <c r="N29" s="57" t="n">
        <f aca="false">MIN(M29,I29*Paramètres!$C$8)</f>
        <v>12755.215</v>
      </c>
      <c r="O29" s="57" t="n">
        <f aca="false">I29*IF(K29="Cadre supérieur",Paramètres!$C$10,Paramètres!$C$9)</f>
        <v>32468.2</v>
      </c>
      <c r="P29" s="57" t="n">
        <f aca="false">MAX(0,ROUNDDOWN(N($E29)-L29-N29-O29,-2))</f>
        <v>117100</v>
      </c>
      <c r="Q29" s="57" t="n">
        <f aca="false">SUMPRODUCT((P29&gt;Paramètres!$B$21:$B$27)*(P29-Paramètres!$B$21:$B$27)*Paramètres!$E$21:$E$27)</f>
        <v>12414.7</v>
      </c>
      <c r="R29" s="57" t="n">
        <f aca="false">Q29*INDEX(Paramètres!$C$31:$C$38,MIN(MAX(INT(N(J29)),0),7)+1)</f>
        <v>0</v>
      </c>
      <c r="S29" s="60" t="n">
        <f aca="false">ROUND(Q29-R29,0)</f>
        <v>12415</v>
      </c>
      <c r="T29" s="57" t="n">
        <f aca="false">ROUND(N($E29)*Paramètres!$C$13,0)</f>
        <v>6957</v>
      </c>
      <c r="U29" s="57" t="n">
        <f aca="false">ROUND(MAX(0,N($E29)-(Q29-R29)-M29)*Paramètres!$C$12,0)</f>
        <v>2067</v>
      </c>
      <c r="V29" s="60" t="n">
        <f aca="false">ROUND(N($E29)-M29-S29-U29,0)</f>
        <v>204676</v>
      </c>
    </row>
    <row r="30" customFormat="false" ht="17.25" hidden="false" customHeight="true" outlineLevel="0" collapsed="false">
      <c r="B30" s="53" t="n">
        <v>23</v>
      </c>
      <c r="C30" s="54" t="s">
        <v>38</v>
      </c>
      <c r="D30" s="55" t="s">
        <v>39</v>
      </c>
      <c r="E30" s="56" t="n">
        <f aca="false">'Juill-aout-sept 2026'!F28</f>
        <v>177387</v>
      </c>
      <c r="F30" s="57" t="n">
        <f aca="false">MIN(ROUNDDOWN(N($E30)*Paramètres!$C$16,0),Paramètres!$D$16)</f>
        <v>35477</v>
      </c>
      <c r="G30" s="57" t="n">
        <f aca="false">MIN(ROUNDDOWN(N($E30)*Paramètres!$C$17,0),Paramètres!$D$17)</f>
        <v>8869</v>
      </c>
      <c r="H30" s="57" t="n">
        <f aca="false">MIN(ROUNDDOWN(N($E30)*Paramètres!$C$18,0),Paramètres!$D$18)</f>
        <v>8869</v>
      </c>
      <c r="I30" s="57" t="n">
        <f aca="false">N($E30)-(F30+G30+H30)</f>
        <v>124172</v>
      </c>
      <c r="J30" s="58" t="n">
        <v>0</v>
      </c>
      <c r="K30" s="59" t="str">
        <f aca="false">IF(I30&lt;Paramètres!$C$11,"Cadre inférieur","Cadre supérieur")</f>
        <v>Cadre inférieur</v>
      </c>
      <c r="L30" s="57" t="n">
        <f aca="false">MIN(F30,MIN(N($E30)*Paramètres!$C$16,Paramètres!$D$16))+MIN(G30,MIN(N($E30)*Paramètres!$C$17,Paramètres!$D$17))+MIN(H30,MIN(N($E30)*Paramètres!$C$18,Paramètres!$D$18))</f>
        <v>53215</v>
      </c>
      <c r="M30" s="57" t="n">
        <f aca="false">MIN(N($E30),Paramètres!$C$7)*Paramètres!$C$6</f>
        <v>9756.285</v>
      </c>
      <c r="N30" s="57" t="n">
        <f aca="false">MIN(M30,I30*Paramètres!$C$8)</f>
        <v>9756.285</v>
      </c>
      <c r="O30" s="57" t="n">
        <f aca="false">I30*IF(K30="Cadre supérieur",Paramètres!$C$10,Paramètres!$C$9)</f>
        <v>31043</v>
      </c>
      <c r="P30" s="57" t="n">
        <f aca="false">MAX(0,ROUNDDOWN(N($E30)-L30-N30-O30,-2))</f>
        <v>83300</v>
      </c>
      <c r="Q30" s="57" t="n">
        <f aca="false">SUMPRODUCT((P30&gt;Paramètres!$B$21:$B$27)*(P30-Paramètres!$B$21:$B$27)*Paramètres!$E$21:$E$27)</f>
        <v>7108.1</v>
      </c>
      <c r="R30" s="57" t="n">
        <f aca="false">Q30*INDEX(Paramètres!$C$31:$C$38,MIN(MAX(INT(N(J30)),0),7)+1)</f>
        <v>0</v>
      </c>
      <c r="S30" s="60" t="n">
        <f aca="false">ROUND(Q30-R30,0)</f>
        <v>7108</v>
      </c>
      <c r="T30" s="57" t="n">
        <f aca="false">ROUND(N($E30)*Paramètres!$C$13,0)</f>
        <v>5322</v>
      </c>
      <c r="U30" s="57" t="n">
        <f aca="false">ROUND(MAX(0,N($E30)-(Q30-R30)-M30)*Paramètres!$C$12,0)</f>
        <v>1605</v>
      </c>
      <c r="V30" s="60" t="n">
        <f aca="false">ROUND(N($E30)-M30-S30-U30,0)</f>
        <v>158918</v>
      </c>
    </row>
    <row r="31" customFormat="false" ht="17.25" hidden="false" customHeight="true" outlineLevel="0" collapsed="false">
      <c r="B31" s="53" t="n">
        <v>24</v>
      </c>
      <c r="C31" s="54" t="s">
        <v>40</v>
      </c>
      <c r="D31" s="55" t="n">
        <v>45778</v>
      </c>
      <c r="E31" s="56" t="n">
        <f aca="false">'Juill-aout-sept 2026'!F29</f>
        <v>165340</v>
      </c>
      <c r="F31" s="57" t="n">
        <f aca="false">MIN(ROUNDDOWN(N($E31)*Paramètres!$C$16,0),Paramètres!$D$16)</f>
        <v>33068</v>
      </c>
      <c r="G31" s="57" t="n">
        <f aca="false">MIN(ROUNDDOWN(N($E31)*Paramètres!$C$17,0),Paramètres!$D$17)</f>
        <v>8267</v>
      </c>
      <c r="H31" s="57" t="n">
        <f aca="false">MIN(ROUNDDOWN(N($E31)*Paramètres!$C$18,0),Paramètres!$D$18)</f>
        <v>8267</v>
      </c>
      <c r="I31" s="57" t="n">
        <f aca="false">N($E31)-(F31+G31+H31)</f>
        <v>115738</v>
      </c>
      <c r="J31" s="58" t="n">
        <v>0</v>
      </c>
      <c r="K31" s="59" t="str">
        <f aca="false">IF(I31&lt;Paramètres!$C$11,"Cadre inférieur","Cadre supérieur")</f>
        <v>Cadre inférieur</v>
      </c>
      <c r="L31" s="57" t="n">
        <f aca="false">MIN(F31,MIN(N($E31)*Paramètres!$C$16,Paramètres!$D$16))+MIN(G31,MIN(N($E31)*Paramètres!$C$17,Paramètres!$D$17))+MIN(H31,MIN(N($E31)*Paramètres!$C$18,Paramètres!$D$18))</f>
        <v>49602</v>
      </c>
      <c r="M31" s="57" t="n">
        <f aca="false">MIN(N($E31),Paramètres!$C$7)*Paramètres!$C$6</f>
        <v>9093.7</v>
      </c>
      <c r="N31" s="57" t="n">
        <f aca="false">MIN(M31,I31*Paramètres!$C$8)</f>
        <v>9093.7</v>
      </c>
      <c r="O31" s="57" t="n">
        <f aca="false">I31*IF(K31="Cadre supérieur",Paramètres!$C$10,Paramètres!$C$9)</f>
        <v>28934.5</v>
      </c>
      <c r="P31" s="57" t="n">
        <f aca="false">MAX(0,ROUNDDOWN(N($E31)-L31-N31-O31,-2))</f>
        <v>77700</v>
      </c>
      <c r="Q31" s="57" t="n">
        <f aca="false">SUMPRODUCT((P31&gt;Paramètres!$B$21:$B$27)*(P31-Paramètres!$B$21:$B$27)*Paramètres!$E$21:$E$27)</f>
        <v>6270.3</v>
      </c>
      <c r="R31" s="57" t="n">
        <f aca="false">Q31*INDEX(Paramètres!$C$31:$C$38,MIN(MAX(INT(N(J31)),0),7)+1)</f>
        <v>0</v>
      </c>
      <c r="S31" s="60" t="n">
        <f aca="false">ROUND(Q31-R31,0)</f>
        <v>6270</v>
      </c>
      <c r="T31" s="57" t="n">
        <f aca="false">ROUND(N($E31)*Paramètres!$C$13,0)</f>
        <v>4960</v>
      </c>
      <c r="U31" s="57" t="n">
        <f aca="false">ROUND(MAX(0,N($E31)-(Q31-R31)-M31)*Paramètres!$C$12,0)</f>
        <v>1500</v>
      </c>
      <c r="V31" s="60" t="n">
        <f aca="false">ROUND(N($E31)-M31-S31-U31,0)</f>
        <v>148476</v>
      </c>
    </row>
    <row r="32" customFormat="false" ht="17.25" hidden="false" customHeight="true" outlineLevel="0" collapsed="false">
      <c r="B32" s="53" t="n">
        <v>25</v>
      </c>
      <c r="C32" s="54" t="s">
        <v>41</v>
      </c>
      <c r="D32" s="55" t="n">
        <v>46183</v>
      </c>
      <c r="E32" s="56" t="n">
        <f aca="false">'Juill-aout-sept 2026'!F30</f>
        <v>177387</v>
      </c>
      <c r="F32" s="57" t="n">
        <f aca="false">MIN(ROUNDDOWN(N($E32)*Paramètres!$C$16,0),Paramètres!$D$16)</f>
        <v>35477</v>
      </c>
      <c r="G32" s="57" t="n">
        <f aca="false">MIN(ROUNDDOWN(N($E32)*Paramètres!$C$17,0),Paramètres!$D$17)</f>
        <v>8869</v>
      </c>
      <c r="H32" s="57" t="n">
        <f aca="false">MIN(ROUNDDOWN(N($E32)*Paramètres!$C$18,0),Paramètres!$D$18)</f>
        <v>8869</v>
      </c>
      <c r="I32" s="57" t="n">
        <f aca="false">N($E32)-(F32+G32+H32)</f>
        <v>124172</v>
      </c>
      <c r="J32" s="58" t="n">
        <v>0</v>
      </c>
      <c r="K32" s="59" t="str">
        <f aca="false">IF(I32&lt;Paramètres!$C$11,"Cadre inférieur","Cadre supérieur")</f>
        <v>Cadre inférieur</v>
      </c>
      <c r="L32" s="57" t="n">
        <f aca="false">MIN(F32,MIN(N($E32)*Paramètres!$C$16,Paramètres!$D$16))+MIN(G32,MIN(N($E32)*Paramètres!$C$17,Paramètres!$D$17))+MIN(H32,MIN(N($E32)*Paramètres!$C$18,Paramètres!$D$18))</f>
        <v>53215</v>
      </c>
      <c r="M32" s="57" t="n">
        <f aca="false">MIN(N($E32),Paramètres!$C$7)*Paramètres!$C$6</f>
        <v>9756.285</v>
      </c>
      <c r="N32" s="57" t="n">
        <f aca="false">MIN(M32,I32*Paramètres!$C$8)</f>
        <v>9756.285</v>
      </c>
      <c r="O32" s="57" t="n">
        <f aca="false">I32*IF(K32="Cadre supérieur",Paramètres!$C$10,Paramètres!$C$9)</f>
        <v>31043</v>
      </c>
      <c r="P32" s="57" t="n">
        <f aca="false">MAX(0,ROUNDDOWN(N($E32)-L32-N32-O32,-2))</f>
        <v>83300</v>
      </c>
      <c r="Q32" s="57" t="n">
        <f aca="false">SUMPRODUCT((P32&gt;Paramètres!$B$21:$B$27)*(P32-Paramètres!$B$21:$B$27)*Paramètres!$E$21:$E$27)</f>
        <v>7108.1</v>
      </c>
      <c r="R32" s="57" t="n">
        <f aca="false">Q32*INDEX(Paramètres!$C$31:$C$38,MIN(MAX(INT(N(J32)),0),7)+1)</f>
        <v>0</v>
      </c>
      <c r="S32" s="60" t="n">
        <f aca="false">ROUND(Q32-R32,0)</f>
        <v>7108</v>
      </c>
      <c r="T32" s="57" t="n">
        <f aca="false">ROUND(N($E32)*Paramètres!$C$13,0)</f>
        <v>5322</v>
      </c>
      <c r="U32" s="57" t="n">
        <f aca="false">ROUND(MAX(0,N($E32)-(Q32-R32)-M32)*Paramètres!$C$12,0)</f>
        <v>1605</v>
      </c>
      <c r="V32" s="60" t="n">
        <f aca="false">ROUND(N($E32)-M32-S32-U32,0)</f>
        <v>158918</v>
      </c>
    </row>
    <row r="33" customFormat="false" ht="17.25" hidden="false" customHeight="true" outlineLevel="0" collapsed="false">
      <c r="B33" s="53"/>
      <c r="C33" s="54" t="s">
        <v>13</v>
      </c>
      <c r="D33" s="55"/>
      <c r="E33" s="56" t="n">
        <f aca="false">'Juill-aout-sept 2026'!F31</f>
        <v>346515</v>
      </c>
      <c r="F33" s="57" t="n">
        <f aca="false">MIN(ROUNDDOWN(N($E33)*Paramètres!$C$16,0),Paramètres!$D$16)</f>
        <v>69303</v>
      </c>
      <c r="G33" s="57" t="n">
        <f aca="false">MIN(ROUNDDOWN(N($E33)*Paramètres!$C$17,0),Paramètres!$D$17)</f>
        <v>17325</v>
      </c>
      <c r="H33" s="57" t="n">
        <f aca="false">MIN(ROUNDDOWN(N($E33)*Paramètres!$C$18,0),Paramètres!$D$18)</f>
        <v>17325</v>
      </c>
      <c r="I33" s="57" t="n">
        <f aca="false">N($E33)-(F33+G33+H33)</f>
        <v>242562</v>
      </c>
      <c r="J33" s="58" t="n">
        <v>0</v>
      </c>
      <c r="K33" s="59" t="str">
        <f aca="false">IF(I33&lt;Paramètres!$C$11,"Cadre inférieur","Cadre supérieur")</f>
        <v>Cadre supérieur</v>
      </c>
      <c r="L33" s="57" t="n">
        <f aca="false">MIN(F33,MIN(N($E33)*Paramètres!$C$16,Paramètres!$D$16))+MIN(G33,MIN(N($E33)*Paramètres!$C$17,Paramètres!$D$17))+MIN(H33,MIN(N($E33)*Paramètres!$C$18,Paramètres!$D$18))</f>
        <v>103953</v>
      </c>
      <c r="M33" s="57" t="n">
        <f aca="false">MIN(N($E33),Paramètres!$C$7)*Paramètres!$C$6</f>
        <v>19058.325</v>
      </c>
      <c r="N33" s="57" t="n">
        <f aca="false">MIN(M33,I33*Paramètres!$C$8)</f>
        <v>19058.325</v>
      </c>
      <c r="O33" s="57" t="n">
        <f aca="false">I33*IF(K33="Cadre supérieur",Paramètres!$C$10,Paramètres!$C$9)</f>
        <v>48512.4</v>
      </c>
      <c r="P33" s="57" t="n">
        <f aca="false">MAX(0,ROUNDDOWN(N($E33)-L33-N33-O33,-2))</f>
        <v>174900</v>
      </c>
      <c r="Q33" s="57" t="n">
        <f aca="false">SUMPRODUCT((P33&gt;Paramètres!$B$21:$B$27)*(P33-Paramètres!$B$21:$B$27)*Paramètres!$E$21:$E$27)</f>
        <v>23133.3</v>
      </c>
      <c r="R33" s="57" t="n">
        <f aca="false">Q33*INDEX(Paramètres!$C$31:$C$38,MIN(MAX(INT(N(J33)),0),7)+1)</f>
        <v>0</v>
      </c>
      <c r="S33" s="60" t="n">
        <f aca="false">ROUND(Q33-R33,0)</f>
        <v>23133</v>
      </c>
      <c r="T33" s="57" t="n">
        <f aca="false">ROUND(N($E33)*Paramètres!$C$13,0)</f>
        <v>10395</v>
      </c>
      <c r="U33" s="57" t="n">
        <f aca="false">ROUND(MAX(0,N($E33)-(Q33-R33)-M33)*Paramètres!$C$12,0)</f>
        <v>3043</v>
      </c>
      <c r="V33" s="60" t="n">
        <f aca="false">ROUND(N($E33)-M33-S33-U33,0)</f>
        <v>301281</v>
      </c>
    </row>
    <row r="34" customFormat="false" ht="17.25" hidden="false" customHeight="true" outlineLevel="0" collapsed="false">
      <c r="B34" s="53" t="n">
        <v>26</v>
      </c>
      <c r="C34" s="54" t="s">
        <v>42</v>
      </c>
      <c r="D34" s="55" t="n">
        <v>45965</v>
      </c>
      <c r="E34" s="56" t="n">
        <f aca="false">'Juill-aout-sept 2026'!F32</f>
        <v>165340</v>
      </c>
      <c r="F34" s="57" t="n">
        <f aca="false">MIN(ROUNDDOWN(N($E34)*Paramètres!$C$16,0),Paramètres!$D$16)</f>
        <v>33068</v>
      </c>
      <c r="G34" s="57" t="n">
        <f aca="false">MIN(ROUNDDOWN(N($E34)*Paramètres!$C$17,0),Paramètres!$D$17)</f>
        <v>8267</v>
      </c>
      <c r="H34" s="57" t="n">
        <f aca="false">MIN(ROUNDDOWN(N($E34)*Paramètres!$C$18,0),Paramètres!$D$18)</f>
        <v>8267</v>
      </c>
      <c r="I34" s="57" t="n">
        <f aca="false">N($E34)-(F34+G34+H34)</f>
        <v>115738</v>
      </c>
      <c r="J34" s="58" t="n">
        <v>0</v>
      </c>
      <c r="K34" s="59" t="str">
        <f aca="false">IF(I34&lt;Paramètres!$C$11,"Cadre inférieur","Cadre supérieur")</f>
        <v>Cadre inférieur</v>
      </c>
      <c r="L34" s="57" t="n">
        <f aca="false">MIN(F34,MIN(N($E34)*Paramètres!$C$16,Paramètres!$D$16))+MIN(G34,MIN(N($E34)*Paramètres!$C$17,Paramètres!$D$17))+MIN(H34,MIN(N($E34)*Paramètres!$C$18,Paramètres!$D$18))</f>
        <v>49602</v>
      </c>
      <c r="M34" s="57" t="n">
        <f aca="false">MIN(N($E34),Paramètres!$C$7)*Paramètres!$C$6</f>
        <v>9093.7</v>
      </c>
      <c r="N34" s="57" t="n">
        <f aca="false">MIN(M34,I34*Paramètres!$C$8)</f>
        <v>9093.7</v>
      </c>
      <c r="O34" s="57" t="n">
        <f aca="false">I34*IF(K34="Cadre supérieur",Paramètres!$C$10,Paramètres!$C$9)</f>
        <v>28934.5</v>
      </c>
      <c r="P34" s="57" t="n">
        <f aca="false">MAX(0,ROUNDDOWN(N($E34)-L34-N34-O34,-2))</f>
        <v>77700</v>
      </c>
      <c r="Q34" s="57" t="n">
        <f aca="false">SUMPRODUCT((P34&gt;Paramètres!$B$21:$B$27)*(P34-Paramètres!$B$21:$B$27)*Paramètres!$E$21:$E$27)</f>
        <v>6270.3</v>
      </c>
      <c r="R34" s="57" t="n">
        <f aca="false">Q34*INDEX(Paramètres!$C$31:$C$38,MIN(MAX(INT(N(J34)),0),7)+1)</f>
        <v>0</v>
      </c>
      <c r="S34" s="60" t="n">
        <f aca="false">ROUND(Q34-R34,0)</f>
        <v>6270</v>
      </c>
      <c r="T34" s="57" t="n">
        <f aca="false">ROUND(N($E34)*Paramètres!$C$13,0)</f>
        <v>4960</v>
      </c>
      <c r="U34" s="57" t="n">
        <f aca="false">ROUND(MAX(0,N($E34)-(Q34-R34)-M34)*Paramètres!$C$12,0)</f>
        <v>1500</v>
      </c>
      <c r="V34" s="60" t="n">
        <f aca="false">ROUND(N($E34)-M34-S34-U34,0)</f>
        <v>148476</v>
      </c>
    </row>
    <row r="35" customFormat="false" ht="17.25" hidden="false" customHeight="true" outlineLevel="0" collapsed="false">
      <c r="B35" s="53" t="n">
        <v>27</v>
      </c>
      <c r="C35" s="54" t="s">
        <v>14</v>
      </c>
      <c r="D35" s="55" t="n">
        <v>46092</v>
      </c>
      <c r="E35" s="56" t="n">
        <f aca="false">'Juill-aout-sept 2026'!F33</f>
        <v>225778</v>
      </c>
      <c r="F35" s="57" t="n">
        <f aca="false">MIN(ROUNDDOWN(N($E35)*Paramètres!$C$16,0),Paramètres!$D$16)</f>
        <v>45155</v>
      </c>
      <c r="G35" s="57" t="n">
        <f aca="false">MIN(ROUNDDOWN(N($E35)*Paramètres!$C$17,0),Paramètres!$D$17)</f>
        <v>11288</v>
      </c>
      <c r="H35" s="57" t="n">
        <f aca="false">MIN(ROUNDDOWN(N($E35)*Paramètres!$C$18,0),Paramètres!$D$18)</f>
        <v>11288</v>
      </c>
      <c r="I35" s="57" t="n">
        <f aca="false">N($E35)-(F35+G35+H35)</f>
        <v>158047</v>
      </c>
      <c r="J35" s="58" t="n">
        <v>0</v>
      </c>
      <c r="K35" s="59" t="str">
        <f aca="false">IF(I35&lt;Paramètres!$C$11,"Cadre inférieur","Cadre supérieur")</f>
        <v>Cadre supérieur</v>
      </c>
      <c r="L35" s="57" t="n">
        <f aca="false">MIN(F35,MIN(N($E35)*Paramètres!$C$16,Paramètres!$D$16))+MIN(G35,MIN(N($E35)*Paramètres!$C$17,Paramètres!$D$17))+MIN(H35,MIN(N($E35)*Paramètres!$C$18,Paramètres!$D$18))</f>
        <v>67731</v>
      </c>
      <c r="M35" s="57" t="n">
        <f aca="false">MIN(N($E35),Paramètres!$C$7)*Paramètres!$C$6</f>
        <v>12417.79</v>
      </c>
      <c r="N35" s="57" t="n">
        <f aca="false">MIN(M35,I35*Paramètres!$C$8)</f>
        <v>12417.79</v>
      </c>
      <c r="O35" s="57" t="n">
        <f aca="false">I35*IF(K35="Cadre supérieur",Paramètres!$C$10,Paramètres!$C$9)</f>
        <v>31609.4</v>
      </c>
      <c r="P35" s="57" t="n">
        <f aca="false">MAX(0,ROUNDDOWN(N($E35)-L35-N35-O35,-2))</f>
        <v>114000</v>
      </c>
      <c r="Q35" s="57" t="n">
        <f aca="false">SUMPRODUCT((P35&gt;Paramètres!$B$21:$B$27)*(P35-Paramètres!$B$21:$B$27)*Paramètres!$E$21:$E$27)</f>
        <v>11928</v>
      </c>
      <c r="R35" s="57" t="n">
        <f aca="false">Q35*INDEX(Paramètres!$C$31:$C$38,MIN(MAX(INT(N(J35)),0),7)+1)</f>
        <v>0</v>
      </c>
      <c r="S35" s="60" t="n">
        <f aca="false">ROUND(Q35-R35,0)</f>
        <v>11928</v>
      </c>
      <c r="T35" s="57" t="n">
        <f aca="false">ROUND(N($E35)*Paramètres!$C$13,0)</f>
        <v>6773</v>
      </c>
      <c r="U35" s="57" t="n">
        <f aca="false">ROUND(MAX(0,N($E35)-(Q35-R35)-M35)*Paramètres!$C$12,0)</f>
        <v>2014</v>
      </c>
      <c r="V35" s="60" t="n">
        <f aca="false">ROUND(N($E35)-M35-S35-U35,0)</f>
        <v>199418</v>
      </c>
    </row>
    <row r="36" customFormat="false" ht="17.25" hidden="false" customHeight="true" outlineLevel="0" collapsed="false">
      <c r="B36" s="53"/>
      <c r="C36" s="54" t="s">
        <v>43</v>
      </c>
      <c r="D36" s="55"/>
      <c r="E36" s="56" t="n">
        <f aca="false">'Juill-aout-sept 2026'!F34</f>
        <v>0</v>
      </c>
      <c r="F36" s="57" t="n">
        <f aca="false">MIN(ROUNDDOWN(N($E36)*Paramètres!$C$16,0),Paramètres!$D$16)</f>
        <v>0</v>
      </c>
      <c r="G36" s="57" t="n">
        <f aca="false">MIN(ROUNDDOWN(N($E36)*Paramètres!$C$17,0),Paramètres!$D$17)</f>
        <v>0</v>
      </c>
      <c r="H36" s="57" t="n">
        <f aca="false">MIN(ROUNDDOWN(N($E36)*Paramètres!$C$18,0),Paramètres!$D$18)</f>
        <v>0</v>
      </c>
      <c r="I36" s="57" t="n">
        <f aca="false">N($E36)-(F36+G36+H36)</f>
        <v>0</v>
      </c>
      <c r="J36" s="58" t="n">
        <v>0</v>
      </c>
      <c r="K36" s="59" t="str">
        <f aca="false">IF(I36&lt;Paramètres!$C$11,"Cadre inférieur","Cadre supérieur")</f>
        <v>Cadre inférieur</v>
      </c>
      <c r="L36" s="57" t="n">
        <f aca="false">MIN(F36,MIN(N($E36)*Paramètres!$C$16,Paramètres!$D$16))+MIN(G36,MIN(N($E36)*Paramètres!$C$17,Paramètres!$D$17))+MIN(H36,MIN(N($E36)*Paramètres!$C$18,Paramètres!$D$18))</f>
        <v>0</v>
      </c>
      <c r="M36" s="57" t="n">
        <f aca="false">MIN(N($E36),Paramètres!$C$7)*Paramètres!$C$6</f>
        <v>0</v>
      </c>
      <c r="N36" s="57" t="n">
        <f aca="false">MIN(M36,I36*Paramètres!$C$8)</f>
        <v>0</v>
      </c>
      <c r="O36" s="57" t="n">
        <f aca="false">I36*IF(K36="Cadre supérieur",Paramètres!$C$10,Paramètres!$C$9)</f>
        <v>0</v>
      </c>
      <c r="P36" s="57" t="n">
        <f aca="false">MAX(0,ROUNDDOWN(N($E36)-L36-N36-O36,-2))</f>
        <v>0</v>
      </c>
      <c r="Q36" s="57" t="n">
        <f aca="false">SUMPRODUCT((P36&gt;Paramètres!$B$21:$B$27)*(P36-Paramètres!$B$21:$B$27)*Paramètres!$E$21:$E$27)</f>
        <v>0</v>
      </c>
      <c r="R36" s="57" t="n">
        <f aca="false">Q36*INDEX(Paramètres!$C$31:$C$38,MIN(MAX(INT(N(J36)),0),7)+1)</f>
        <v>0</v>
      </c>
      <c r="S36" s="60" t="n">
        <f aca="false">ROUND(Q36-R36,0)</f>
        <v>0</v>
      </c>
      <c r="T36" s="57" t="n">
        <f aca="false">ROUND(N($E36)*Paramètres!$C$13,0)</f>
        <v>0</v>
      </c>
      <c r="U36" s="57" t="n">
        <f aca="false">ROUND(MAX(0,N($E36)-(Q36-R36)-M36)*Paramètres!$C$12,0)</f>
        <v>0</v>
      </c>
      <c r="V36" s="60" t="n">
        <f aca="false">ROUND(N($E36)-M36-S36-U36,0)</f>
        <v>0</v>
      </c>
    </row>
    <row r="37" customFormat="false" ht="17.25" hidden="false" customHeight="true" outlineLevel="0" collapsed="false">
      <c r="B37" s="53" t="n">
        <v>28</v>
      </c>
      <c r="C37" s="54" t="s">
        <v>44</v>
      </c>
      <c r="D37" s="55" t="n">
        <v>46275</v>
      </c>
      <c r="E37" s="56" t="n">
        <f aca="false">'Juill-aout-sept 2026'!F35</f>
        <v>0</v>
      </c>
      <c r="F37" s="57" t="n">
        <f aca="false">MIN(ROUNDDOWN(N($E37)*Paramètres!$C$16,0),Paramètres!$D$16)</f>
        <v>0</v>
      </c>
      <c r="G37" s="57" t="n">
        <f aca="false">MIN(ROUNDDOWN(N($E37)*Paramètres!$C$17,0),Paramètres!$D$17)</f>
        <v>0</v>
      </c>
      <c r="H37" s="57" t="n">
        <f aca="false">MIN(ROUNDDOWN(N($E37)*Paramètres!$C$18,0),Paramètres!$D$18)</f>
        <v>0</v>
      </c>
      <c r="I37" s="57" t="n">
        <f aca="false">N($E37)-(F37+G37+H37)</f>
        <v>0</v>
      </c>
      <c r="J37" s="58" t="n">
        <v>0</v>
      </c>
      <c r="K37" s="59" t="str">
        <f aca="false">IF(I37&lt;Paramètres!$C$11,"Cadre inférieur","Cadre supérieur")</f>
        <v>Cadre inférieur</v>
      </c>
      <c r="L37" s="57" t="n">
        <f aca="false">MIN(F37,MIN(N($E37)*Paramètres!$C$16,Paramètres!$D$16))+MIN(G37,MIN(N($E37)*Paramètres!$C$17,Paramètres!$D$17))+MIN(H37,MIN(N($E37)*Paramètres!$C$18,Paramètres!$D$18))</f>
        <v>0</v>
      </c>
      <c r="M37" s="57" t="n">
        <f aca="false">MIN(N($E37),Paramètres!$C$7)*Paramètres!$C$6</f>
        <v>0</v>
      </c>
      <c r="N37" s="57" t="n">
        <f aca="false">MIN(M37,I37*Paramètres!$C$8)</f>
        <v>0</v>
      </c>
      <c r="O37" s="57" t="n">
        <f aca="false">I37*IF(K37="Cadre supérieur",Paramètres!$C$10,Paramètres!$C$9)</f>
        <v>0</v>
      </c>
      <c r="P37" s="57" t="n">
        <f aca="false">MAX(0,ROUNDDOWN(N($E37)-L37-N37-O37,-2))</f>
        <v>0</v>
      </c>
      <c r="Q37" s="57" t="n">
        <f aca="false">SUMPRODUCT((P37&gt;Paramètres!$B$21:$B$27)*(P37-Paramètres!$B$21:$B$27)*Paramètres!$E$21:$E$27)</f>
        <v>0</v>
      </c>
      <c r="R37" s="57" t="n">
        <f aca="false">Q37*INDEX(Paramètres!$C$31:$C$38,MIN(MAX(INT(N(J37)),0),7)+1)</f>
        <v>0</v>
      </c>
      <c r="S37" s="60" t="n">
        <f aca="false">ROUND(Q37-R37,0)</f>
        <v>0</v>
      </c>
      <c r="T37" s="57" t="n">
        <f aca="false">ROUND(N($E37)*Paramètres!$C$13,0)</f>
        <v>0</v>
      </c>
      <c r="U37" s="57" t="n">
        <f aca="false">ROUND(MAX(0,N($E37)-(Q37-R37)-M37)*Paramètres!$C$12,0)</f>
        <v>0</v>
      </c>
      <c r="V37" s="60" t="n">
        <f aca="false">ROUND(N($E37)-M37-S37-U37,0)</f>
        <v>0</v>
      </c>
    </row>
    <row r="38" customFormat="false" ht="17.25" hidden="false" customHeight="true" outlineLevel="0" collapsed="false">
      <c r="B38" s="53" t="n">
        <v>29</v>
      </c>
      <c r="C38" s="54" t="s">
        <v>45</v>
      </c>
      <c r="D38" s="55" t="n">
        <v>46216</v>
      </c>
      <c r="E38" s="56" t="n">
        <f aca="false">'Juill-aout-sept 2026'!F36</f>
        <v>225778</v>
      </c>
      <c r="F38" s="57" t="n">
        <f aca="false">MIN(ROUNDDOWN(N($E38)*Paramètres!$C$16,0),Paramètres!$D$16)</f>
        <v>45155</v>
      </c>
      <c r="G38" s="57" t="n">
        <f aca="false">MIN(ROUNDDOWN(N($E38)*Paramètres!$C$17,0),Paramètres!$D$17)</f>
        <v>11288</v>
      </c>
      <c r="H38" s="57" t="n">
        <f aca="false">MIN(ROUNDDOWN(N($E38)*Paramètres!$C$18,0),Paramètres!$D$18)</f>
        <v>11288</v>
      </c>
      <c r="I38" s="57" t="n">
        <f aca="false">N($E38)-(F38+G38+H38)</f>
        <v>158047</v>
      </c>
      <c r="J38" s="58" t="n">
        <v>0</v>
      </c>
      <c r="K38" s="59" t="str">
        <f aca="false">IF(I38&lt;Paramètres!$C$11,"Cadre inférieur","Cadre supérieur")</f>
        <v>Cadre supérieur</v>
      </c>
      <c r="L38" s="57" t="n">
        <f aca="false">MIN(F38,MIN(N($E38)*Paramètres!$C$16,Paramètres!$D$16))+MIN(G38,MIN(N($E38)*Paramètres!$C$17,Paramètres!$D$17))+MIN(H38,MIN(N($E38)*Paramètres!$C$18,Paramètres!$D$18))</f>
        <v>67731</v>
      </c>
      <c r="M38" s="57" t="n">
        <f aca="false">MIN(N($E38),Paramètres!$C$7)*Paramètres!$C$6</f>
        <v>12417.79</v>
      </c>
      <c r="N38" s="57" t="n">
        <f aca="false">MIN(M38,I38*Paramètres!$C$8)</f>
        <v>12417.79</v>
      </c>
      <c r="O38" s="57" t="n">
        <f aca="false">I38*IF(K38="Cadre supérieur",Paramètres!$C$10,Paramètres!$C$9)</f>
        <v>31609.4</v>
      </c>
      <c r="P38" s="57" t="n">
        <f aca="false">MAX(0,ROUNDDOWN(N($E38)-L38-N38-O38,-2))</f>
        <v>114000</v>
      </c>
      <c r="Q38" s="57" t="n">
        <f aca="false">SUMPRODUCT((P38&gt;Paramètres!$B$21:$B$27)*(P38-Paramètres!$B$21:$B$27)*Paramètres!$E$21:$E$27)</f>
        <v>11928</v>
      </c>
      <c r="R38" s="57" t="n">
        <f aca="false">Q38*INDEX(Paramètres!$C$31:$C$38,MIN(MAX(INT(N(J38)),0),7)+1)</f>
        <v>0</v>
      </c>
      <c r="S38" s="60" t="n">
        <f aca="false">ROUND(Q38-R38,0)</f>
        <v>11928</v>
      </c>
      <c r="T38" s="57" t="n">
        <f aca="false">ROUND(N($E38)*Paramètres!$C$13,0)</f>
        <v>6773</v>
      </c>
      <c r="U38" s="57" t="n">
        <f aca="false">ROUND(MAX(0,N($E38)-(Q38-R38)-M38)*Paramètres!$C$12,0)</f>
        <v>2014</v>
      </c>
      <c r="V38" s="60" t="n">
        <f aca="false">ROUND(N($E38)-M38-S38-U38,0)</f>
        <v>199418</v>
      </c>
    </row>
    <row r="39" customFormat="false" ht="17.25" hidden="false" customHeight="true" outlineLevel="0" collapsed="false">
      <c r="B39" s="53" t="n">
        <v>30</v>
      </c>
      <c r="C39" s="54" t="s">
        <v>11</v>
      </c>
      <c r="D39" s="55" t="n">
        <v>45778</v>
      </c>
      <c r="E39" s="56" t="n">
        <f aca="false">'Juill-aout-sept 2026'!F37</f>
        <v>346515</v>
      </c>
      <c r="F39" s="57" t="n">
        <f aca="false">MIN(ROUNDDOWN(N($E39)*Paramètres!$C$16,0),Paramètres!$D$16)</f>
        <v>69303</v>
      </c>
      <c r="G39" s="57" t="n">
        <f aca="false">MIN(ROUNDDOWN(N($E39)*Paramètres!$C$17,0),Paramètres!$D$17)</f>
        <v>17325</v>
      </c>
      <c r="H39" s="57" t="n">
        <f aca="false">MIN(ROUNDDOWN(N($E39)*Paramètres!$C$18,0),Paramètres!$D$18)</f>
        <v>17325</v>
      </c>
      <c r="I39" s="57" t="n">
        <f aca="false">N($E39)-(F39+G39+H39)</f>
        <v>242562</v>
      </c>
      <c r="J39" s="58" t="n">
        <v>0</v>
      </c>
      <c r="K39" s="59" t="str">
        <f aca="false">IF(I39&lt;Paramètres!$C$11,"Cadre inférieur","Cadre supérieur")</f>
        <v>Cadre supérieur</v>
      </c>
      <c r="L39" s="57" t="n">
        <f aca="false">MIN(F39,MIN(N($E39)*Paramètres!$C$16,Paramètres!$D$16))+MIN(G39,MIN(N($E39)*Paramètres!$C$17,Paramètres!$D$17))+MIN(H39,MIN(N($E39)*Paramètres!$C$18,Paramètres!$D$18))</f>
        <v>103953</v>
      </c>
      <c r="M39" s="57" t="n">
        <f aca="false">MIN(N($E39),Paramètres!$C$7)*Paramètres!$C$6</f>
        <v>19058.325</v>
      </c>
      <c r="N39" s="57" t="n">
        <f aca="false">MIN(M39,I39*Paramètres!$C$8)</f>
        <v>19058.325</v>
      </c>
      <c r="O39" s="57" t="n">
        <f aca="false">I39*IF(K39="Cadre supérieur",Paramètres!$C$10,Paramètres!$C$9)</f>
        <v>48512.4</v>
      </c>
      <c r="P39" s="57" t="n">
        <f aca="false">MAX(0,ROUNDDOWN(N($E39)-L39-N39-O39,-2))</f>
        <v>174900</v>
      </c>
      <c r="Q39" s="57" t="n">
        <f aca="false">SUMPRODUCT((P39&gt;Paramètres!$B$21:$B$27)*(P39-Paramètres!$B$21:$B$27)*Paramètres!$E$21:$E$27)</f>
        <v>23133.3</v>
      </c>
      <c r="R39" s="57" t="n">
        <f aca="false">Q39*INDEX(Paramètres!$C$31:$C$38,MIN(MAX(INT(N(J39)),0),7)+1)</f>
        <v>0</v>
      </c>
      <c r="S39" s="60" t="n">
        <f aca="false">ROUND(Q39-R39,0)</f>
        <v>23133</v>
      </c>
      <c r="T39" s="57" t="n">
        <f aca="false">ROUND(N($E39)*Paramètres!$C$13,0)</f>
        <v>10395</v>
      </c>
      <c r="U39" s="57" t="n">
        <f aca="false">ROUND(MAX(0,N($E39)-(Q39-R39)-M39)*Paramètres!$C$12,0)</f>
        <v>3043</v>
      </c>
      <c r="V39" s="60" t="n">
        <f aca="false">ROUND(N($E39)-M39-S39-U39,0)</f>
        <v>301281</v>
      </c>
    </row>
    <row r="40" customFormat="false" ht="17.25" hidden="false" customHeight="true" outlineLevel="0" collapsed="false">
      <c r="B40" s="53" t="n">
        <v>31</v>
      </c>
      <c r="C40" s="54" t="s">
        <v>46</v>
      </c>
      <c r="D40" s="55" t="n">
        <v>45962</v>
      </c>
      <c r="E40" s="56" t="n">
        <f aca="false">'Juill-aout-sept 2026'!F38</f>
        <v>213563</v>
      </c>
      <c r="F40" s="57" t="n">
        <f aca="false">MIN(ROUNDDOWN(N($E40)*Paramètres!$C$16,0),Paramètres!$D$16)</f>
        <v>42712</v>
      </c>
      <c r="G40" s="57" t="n">
        <f aca="false">MIN(ROUNDDOWN(N($E40)*Paramètres!$C$17,0),Paramètres!$D$17)</f>
        <v>10678</v>
      </c>
      <c r="H40" s="57" t="n">
        <f aca="false">MIN(ROUNDDOWN(N($E40)*Paramètres!$C$18,0),Paramètres!$D$18)</f>
        <v>10678</v>
      </c>
      <c r="I40" s="57" t="n">
        <f aca="false">N($E40)-(F40+G40+H40)</f>
        <v>149495</v>
      </c>
      <c r="J40" s="58" t="n">
        <v>0</v>
      </c>
      <c r="K40" s="59" t="str">
        <f aca="false">IF(I40&lt;Paramètres!$C$11,"Cadre inférieur","Cadre supérieur")</f>
        <v>Cadre inférieur</v>
      </c>
      <c r="L40" s="57" t="n">
        <f aca="false">MIN(F40,MIN(N($E40)*Paramètres!$C$16,Paramètres!$D$16))+MIN(G40,MIN(N($E40)*Paramètres!$C$17,Paramètres!$D$17))+MIN(H40,MIN(N($E40)*Paramètres!$C$18,Paramètres!$D$18))</f>
        <v>64068</v>
      </c>
      <c r="M40" s="57" t="n">
        <f aca="false">MIN(N($E40),Paramètres!$C$7)*Paramètres!$C$6</f>
        <v>11745.965</v>
      </c>
      <c r="N40" s="57" t="n">
        <f aca="false">MIN(M40,I40*Paramètres!$C$8)</f>
        <v>11745.965</v>
      </c>
      <c r="O40" s="57" t="n">
        <f aca="false">I40*IF(K40="Cadre supérieur",Paramètres!$C$10,Paramètres!$C$9)</f>
        <v>37373.75</v>
      </c>
      <c r="P40" s="57" t="n">
        <f aca="false">MAX(0,ROUNDDOWN(N($E40)-L40-N40-O40,-2))</f>
        <v>100300</v>
      </c>
      <c r="Q40" s="57" t="n">
        <f aca="false">SUMPRODUCT((P40&gt;Paramètres!$B$21:$B$27)*(P40-Paramètres!$B$21:$B$27)*Paramètres!$E$21:$E$27)</f>
        <v>9777.1</v>
      </c>
      <c r="R40" s="57" t="n">
        <f aca="false">Q40*INDEX(Paramètres!$C$31:$C$38,MIN(MAX(INT(N(J40)),0),7)+1)</f>
        <v>0</v>
      </c>
      <c r="S40" s="60" t="n">
        <f aca="false">ROUND(Q40-R40,0)</f>
        <v>9777</v>
      </c>
      <c r="T40" s="57" t="n">
        <f aca="false">ROUND(N($E40)*Paramètres!$C$13,0)</f>
        <v>6407</v>
      </c>
      <c r="U40" s="57" t="n">
        <f aca="false">ROUND(MAX(0,N($E40)-(Q40-R40)-M40)*Paramètres!$C$12,0)</f>
        <v>1920</v>
      </c>
      <c r="V40" s="60" t="n">
        <f aca="false">ROUND(N($E40)-M40-S40-U40,0)</f>
        <v>190120</v>
      </c>
    </row>
    <row r="41" customFormat="false" ht="17.25" hidden="false" customHeight="true" outlineLevel="0" collapsed="false">
      <c r="B41" s="53" t="n">
        <v>32</v>
      </c>
      <c r="C41" s="54" t="s">
        <v>47</v>
      </c>
      <c r="D41" s="55" t="n">
        <v>46252</v>
      </c>
      <c r="E41" s="56" t="n">
        <f aca="false">'Juill-aout-sept 2026'!F39</f>
        <v>0</v>
      </c>
      <c r="F41" s="57" t="n">
        <f aca="false">MIN(ROUNDDOWN(N($E41)*Paramètres!$C$16,0),Paramètres!$D$16)</f>
        <v>0</v>
      </c>
      <c r="G41" s="57" t="n">
        <f aca="false">MIN(ROUNDDOWN(N($E41)*Paramètres!$C$17,0),Paramètres!$D$17)</f>
        <v>0</v>
      </c>
      <c r="H41" s="57" t="n">
        <f aca="false">MIN(ROUNDDOWN(N($E41)*Paramètres!$C$18,0),Paramètres!$D$18)</f>
        <v>0</v>
      </c>
      <c r="I41" s="57" t="n">
        <f aca="false">N($E41)-(F41+G41+H41)</f>
        <v>0</v>
      </c>
      <c r="J41" s="58" t="n">
        <v>0</v>
      </c>
      <c r="K41" s="59" t="str">
        <f aca="false">IF(I41&lt;Paramètres!$C$11,"Cadre inférieur","Cadre supérieur")</f>
        <v>Cadre inférieur</v>
      </c>
      <c r="L41" s="57" t="n">
        <f aca="false">MIN(F41,MIN(N($E41)*Paramètres!$C$16,Paramètres!$D$16))+MIN(G41,MIN(N($E41)*Paramètres!$C$17,Paramètres!$D$17))+MIN(H41,MIN(N($E41)*Paramètres!$C$18,Paramètres!$D$18))</f>
        <v>0</v>
      </c>
      <c r="M41" s="57" t="n">
        <f aca="false">MIN(N($E41),Paramètres!$C$7)*Paramètres!$C$6</f>
        <v>0</v>
      </c>
      <c r="N41" s="57" t="n">
        <f aca="false">MIN(M41,I41*Paramètres!$C$8)</f>
        <v>0</v>
      </c>
      <c r="O41" s="57" t="n">
        <f aca="false">I41*IF(K41="Cadre supérieur",Paramètres!$C$10,Paramètres!$C$9)</f>
        <v>0</v>
      </c>
      <c r="P41" s="57" t="n">
        <f aca="false">MAX(0,ROUNDDOWN(N($E41)-L41-N41-O41,-2))</f>
        <v>0</v>
      </c>
      <c r="Q41" s="57" t="n">
        <f aca="false">SUMPRODUCT((P41&gt;Paramètres!$B$21:$B$27)*(P41-Paramètres!$B$21:$B$27)*Paramètres!$E$21:$E$27)</f>
        <v>0</v>
      </c>
      <c r="R41" s="57" t="n">
        <f aca="false">Q41*INDEX(Paramètres!$C$31:$C$38,MIN(MAX(INT(N(J41)),0),7)+1)</f>
        <v>0</v>
      </c>
      <c r="S41" s="60" t="n">
        <f aca="false">ROUND(Q41-R41,0)</f>
        <v>0</v>
      </c>
      <c r="T41" s="57" t="n">
        <f aca="false">ROUND(N($E41)*Paramètres!$C$13,0)</f>
        <v>0</v>
      </c>
      <c r="U41" s="57" t="n">
        <f aca="false">ROUND(MAX(0,N($E41)-(Q41-R41)-M41)*Paramètres!$C$12,0)</f>
        <v>0</v>
      </c>
      <c r="V41" s="60" t="n">
        <f aca="false">ROUND(N($E41)-M41-S41-U41,0)</f>
        <v>0</v>
      </c>
    </row>
    <row r="42" customFormat="false" ht="17.25" hidden="false" customHeight="true" outlineLevel="0" collapsed="false">
      <c r="B42" s="53" t="n">
        <v>33</v>
      </c>
      <c r="C42" s="54" t="s">
        <v>48</v>
      </c>
      <c r="D42" s="55" t="n">
        <v>46023</v>
      </c>
      <c r="E42" s="56" t="n">
        <f aca="false">'Juill-aout-sept 2026'!F40</f>
        <v>213563</v>
      </c>
      <c r="F42" s="57" t="n">
        <f aca="false">MIN(ROUNDDOWN(N($E42)*Paramètres!$C$16,0),Paramètres!$D$16)</f>
        <v>42712</v>
      </c>
      <c r="G42" s="57" t="n">
        <f aca="false">MIN(ROUNDDOWN(N($E42)*Paramètres!$C$17,0),Paramètres!$D$17)</f>
        <v>10678</v>
      </c>
      <c r="H42" s="57" t="n">
        <f aca="false">MIN(ROUNDDOWN(N($E42)*Paramètres!$C$18,0),Paramètres!$D$18)</f>
        <v>10678</v>
      </c>
      <c r="I42" s="57" t="n">
        <f aca="false">N($E42)-(F42+G42+H42)</f>
        <v>149495</v>
      </c>
      <c r="J42" s="58" t="n">
        <v>0</v>
      </c>
      <c r="K42" s="59" t="str">
        <f aca="false">IF(I42&lt;Paramètres!$C$11,"Cadre inférieur","Cadre supérieur")</f>
        <v>Cadre inférieur</v>
      </c>
      <c r="L42" s="57" t="n">
        <f aca="false">MIN(F42,MIN(N($E42)*Paramètres!$C$16,Paramètres!$D$16))+MIN(G42,MIN(N($E42)*Paramètres!$C$17,Paramètres!$D$17))+MIN(H42,MIN(N($E42)*Paramètres!$C$18,Paramètres!$D$18))</f>
        <v>64068</v>
      </c>
      <c r="M42" s="57" t="n">
        <f aca="false">MIN(N($E42),Paramètres!$C$7)*Paramètres!$C$6</f>
        <v>11745.965</v>
      </c>
      <c r="N42" s="57" t="n">
        <f aca="false">MIN(M42,I42*Paramètres!$C$8)</f>
        <v>11745.965</v>
      </c>
      <c r="O42" s="57" t="n">
        <f aca="false">I42*IF(K42="Cadre supérieur",Paramètres!$C$10,Paramètres!$C$9)</f>
        <v>37373.75</v>
      </c>
      <c r="P42" s="57" t="n">
        <f aca="false">MAX(0,ROUNDDOWN(N($E42)-L42-N42-O42,-2))</f>
        <v>100300</v>
      </c>
      <c r="Q42" s="57" t="n">
        <f aca="false">SUMPRODUCT((P42&gt;Paramètres!$B$21:$B$27)*(P42-Paramètres!$B$21:$B$27)*Paramètres!$E$21:$E$27)</f>
        <v>9777.1</v>
      </c>
      <c r="R42" s="57" t="n">
        <f aca="false">Q42*INDEX(Paramètres!$C$31:$C$38,MIN(MAX(INT(N(J42)),0),7)+1)</f>
        <v>0</v>
      </c>
      <c r="S42" s="60" t="n">
        <f aca="false">ROUND(Q42-R42,0)</f>
        <v>9777</v>
      </c>
      <c r="T42" s="57" t="n">
        <f aca="false">ROUND(N($E42)*Paramètres!$C$13,0)</f>
        <v>6407</v>
      </c>
      <c r="U42" s="57" t="n">
        <f aca="false">ROUND(MAX(0,N($E42)-(Q42-R42)-M42)*Paramètres!$C$12,0)</f>
        <v>1920</v>
      </c>
      <c r="V42" s="60" t="n">
        <f aca="false">ROUND(N($E42)-M42-S42-U42,0)</f>
        <v>190120</v>
      </c>
    </row>
    <row r="43" customFormat="false" ht="17.25" hidden="false" customHeight="true" outlineLevel="0" collapsed="false">
      <c r="B43" s="53" t="n">
        <v>34</v>
      </c>
      <c r="C43" s="54" t="s">
        <v>49</v>
      </c>
      <c r="D43" s="55" t="n">
        <v>46220</v>
      </c>
      <c r="E43" s="56" t="n">
        <f aca="false">'Juill-aout-sept 2026'!F41</f>
        <v>195448</v>
      </c>
      <c r="F43" s="57" t="n">
        <f aca="false">MIN(ROUNDDOWN(N($E43)*Paramètres!$C$16,0),Paramètres!$D$16)</f>
        <v>39089</v>
      </c>
      <c r="G43" s="57" t="n">
        <f aca="false">MIN(ROUNDDOWN(N($E43)*Paramètres!$C$17,0),Paramètres!$D$17)</f>
        <v>9772</v>
      </c>
      <c r="H43" s="57" t="n">
        <f aca="false">MIN(ROUNDDOWN(N($E43)*Paramètres!$C$18,0),Paramètres!$D$18)</f>
        <v>9772</v>
      </c>
      <c r="I43" s="57" t="n">
        <f aca="false">N($E43)-(F43+G43+H43)</f>
        <v>136815</v>
      </c>
      <c r="J43" s="58" t="n">
        <v>0</v>
      </c>
      <c r="K43" s="59" t="str">
        <f aca="false">IF(I43&lt;Paramètres!$C$11,"Cadre inférieur","Cadre supérieur")</f>
        <v>Cadre inférieur</v>
      </c>
      <c r="L43" s="57" t="n">
        <f aca="false">MIN(F43,MIN(N($E43)*Paramètres!$C$16,Paramètres!$D$16))+MIN(G43,MIN(N($E43)*Paramètres!$C$17,Paramètres!$D$17))+MIN(H43,MIN(N($E43)*Paramètres!$C$18,Paramètres!$D$18))</f>
        <v>58633</v>
      </c>
      <c r="M43" s="57" t="n">
        <f aca="false">MIN(N($E43),Paramètres!$C$7)*Paramètres!$C$6</f>
        <v>10749.64</v>
      </c>
      <c r="N43" s="57" t="n">
        <f aca="false">MIN(M43,I43*Paramètres!$C$8)</f>
        <v>10749.64</v>
      </c>
      <c r="O43" s="57" t="n">
        <f aca="false">I43*IF(K43="Cadre supérieur",Paramètres!$C$10,Paramètres!$C$9)</f>
        <v>34203.75</v>
      </c>
      <c r="P43" s="57" t="n">
        <f aca="false">MAX(0,ROUNDDOWN(N($E43)-L43-N43-O43,-2))</f>
        <v>91800</v>
      </c>
      <c r="Q43" s="57" t="n">
        <f aca="false">SUMPRODUCT((P43&gt;Paramètres!$B$21:$B$27)*(P43-Paramètres!$B$21:$B$27)*Paramètres!$E$21:$E$27)</f>
        <v>8442.6</v>
      </c>
      <c r="R43" s="57" t="n">
        <f aca="false">Q43*INDEX(Paramètres!$C$31:$C$38,MIN(MAX(INT(N(J43)),0),7)+1)</f>
        <v>0</v>
      </c>
      <c r="S43" s="60" t="n">
        <f aca="false">ROUND(Q43-R43,0)</f>
        <v>8443</v>
      </c>
      <c r="T43" s="57" t="n">
        <f aca="false">ROUND(N($E43)*Paramètres!$C$13,0)</f>
        <v>5863</v>
      </c>
      <c r="U43" s="57" t="n">
        <f aca="false">ROUND(MAX(0,N($E43)-(Q43-R43)-M43)*Paramètres!$C$12,0)</f>
        <v>1763</v>
      </c>
      <c r="V43" s="60" t="n">
        <f aca="false">ROUND(N($E43)-M43-S43-U43,0)</f>
        <v>174492</v>
      </c>
    </row>
    <row r="44" customFormat="false" ht="17.25" hidden="false" customHeight="true" outlineLevel="0" collapsed="false">
      <c r="B44" s="53" t="n">
        <v>35</v>
      </c>
      <c r="C44" s="54" t="s">
        <v>50</v>
      </c>
      <c r="D44" s="55" t="n">
        <v>46068</v>
      </c>
      <c r="E44" s="56" t="n">
        <f aca="false">'Juill-aout-sept 2026'!F42</f>
        <v>135983</v>
      </c>
      <c r="F44" s="57" t="n">
        <f aca="false">MIN(ROUNDDOWN(N($E44)*Paramètres!$C$16,0),Paramètres!$D$16)</f>
        <v>27196</v>
      </c>
      <c r="G44" s="57" t="n">
        <f aca="false">MIN(ROUNDDOWN(N($E44)*Paramètres!$C$17,0),Paramètres!$D$17)</f>
        <v>6799</v>
      </c>
      <c r="H44" s="57" t="n">
        <f aca="false">MIN(ROUNDDOWN(N($E44)*Paramètres!$C$18,0),Paramètres!$D$18)</f>
        <v>6799</v>
      </c>
      <c r="I44" s="57" t="n">
        <f aca="false">N($E44)-(F44+G44+H44)</f>
        <v>95189</v>
      </c>
      <c r="J44" s="58" t="n">
        <v>0</v>
      </c>
      <c r="K44" s="59" t="str">
        <f aca="false">IF(I44&lt;Paramètres!$C$11,"Cadre inférieur","Cadre supérieur")</f>
        <v>Cadre inférieur</v>
      </c>
      <c r="L44" s="57" t="n">
        <f aca="false">MIN(F44,MIN(N($E44)*Paramètres!$C$16,Paramètres!$D$16))+MIN(G44,MIN(N($E44)*Paramètres!$C$17,Paramètres!$D$17))+MIN(H44,MIN(N($E44)*Paramètres!$C$18,Paramètres!$D$18))</f>
        <v>40794</v>
      </c>
      <c r="M44" s="57" t="n">
        <f aca="false">MIN(N($E44),Paramètres!$C$7)*Paramètres!$C$6</f>
        <v>7479.065</v>
      </c>
      <c r="N44" s="57" t="n">
        <f aca="false">MIN(M44,I44*Paramètres!$C$8)</f>
        <v>7479.065</v>
      </c>
      <c r="O44" s="57" t="n">
        <f aca="false">I44*IF(K44="Cadre supérieur",Paramètres!$C$10,Paramètres!$C$9)</f>
        <v>23797.25</v>
      </c>
      <c r="P44" s="57" t="n">
        <f aca="false">MAX(0,ROUNDDOWN(N($E44)-L44-N44-O44,-2))</f>
        <v>63900</v>
      </c>
      <c r="Q44" s="57" t="n">
        <f aca="false">SUMPRODUCT((P44&gt;Paramètres!$B$21:$B$27)*(P44-Paramètres!$B$21:$B$27)*Paramètres!$E$21:$E$27)</f>
        <v>4352.1</v>
      </c>
      <c r="R44" s="57" t="n">
        <f aca="false">Q44*INDEX(Paramètres!$C$31:$C$38,MIN(MAX(INT(N(J44)),0),7)+1)</f>
        <v>0</v>
      </c>
      <c r="S44" s="60" t="n">
        <f aca="false">ROUND(Q44-R44,0)</f>
        <v>4352</v>
      </c>
      <c r="T44" s="57" t="n">
        <f aca="false">ROUND(N($E44)*Paramètres!$C$13,0)</f>
        <v>4079</v>
      </c>
      <c r="U44" s="57" t="n">
        <f aca="false">ROUND(MAX(0,N($E44)-(Q44-R44)-M44)*Paramètres!$C$12,0)</f>
        <v>1242</v>
      </c>
      <c r="V44" s="60" t="n">
        <f aca="false">ROUND(N($E44)-M44-S44-U44,0)</f>
        <v>122910</v>
      </c>
    </row>
    <row r="45" customFormat="false" ht="17.25" hidden="false" customHeight="true" outlineLevel="0" collapsed="false">
      <c r="B45" s="53" t="n">
        <v>36</v>
      </c>
      <c r="C45" s="54" t="s">
        <v>51</v>
      </c>
      <c r="D45" s="55" t="n">
        <v>46219</v>
      </c>
      <c r="E45" s="56" t="n">
        <f aca="false">'Juill-aout-sept 2026'!F43</f>
        <v>177387</v>
      </c>
      <c r="F45" s="57" t="n">
        <f aca="false">MIN(ROUNDDOWN(N($E45)*Paramètres!$C$16,0),Paramètres!$D$16)</f>
        <v>35477</v>
      </c>
      <c r="G45" s="57" t="n">
        <f aca="false">MIN(ROUNDDOWN(N($E45)*Paramètres!$C$17,0),Paramètres!$D$17)</f>
        <v>8869</v>
      </c>
      <c r="H45" s="57" t="n">
        <f aca="false">MIN(ROUNDDOWN(N($E45)*Paramètres!$C$18,0),Paramètres!$D$18)</f>
        <v>8869</v>
      </c>
      <c r="I45" s="57" t="n">
        <f aca="false">N($E45)-(F45+G45+H45)</f>
        <v>124172</v>
      </c>
      <c r="J45" s="58" t="n">
        <v>0</v>
      </c>
      <c r="K45" s="59" t="str">
        <f aca="false">IF(I45&lt;Paramètres!$C$11,"Cadre inférieur","Cadre supérieur")</f>
        <v>Cadre inférieur</v>
      </c>
      <c r="L45" s="57" t="n">
        <f aca="false">MIN(F45,MIN(N($E45)*Paramètres!$C$16,Paramètres!$D$16))+MIN(G45,MIN(N($E45)*Paramètres!$C$17,Paramètres!$D$17))+MIN(H45,MIN(N($E45)*Paramètres!$C$18,Paramètres!$D$18))</f>
        <v>53215</v>
      </c>
      <c r="M45" s="57" t="n">
        <f aca="false">MIN(N($E45),Paramètres!$C$7)*Paramètres!$C$6</f>
        <v>9756.285</v>
      </c>
      <c r="N45" s="57" t="n">
        <f aca="false">MIN(M45,I45*Paramètres!$C$8)</f>
        <v>9756.285</v>
      </c>
      <c r="O45" s="57" t="n">
        <f aca="false">I45*IF(K45="Cadre supérieur",Paramètres!$C$10,Paramètres!$C$9)</f>
        <v>31043</v>
      </c>
      <c r="P45" s="57" t="n">
        <f aca="false">MAX(0,ROUNDDOWN(N($E45)-L45-N45-O45,-2))</f>
        <v>83300</v>
      </c>
      <c r="Q45" s="57" t="n">
        <f aca="false">SUMPRODUCT((P45&gt;Paramètres!$B$21:$B$27)*(P45-Paramètres!$B$21:$B$27)*Paramètres!$E$21:$E$27)</f>
        <v>7108.1</v>
      </c>
      <c r="R45" s="57" t="n">
        <f aca="false">Q45*INDEX(Paramètres!$C$31:$C$38,MIN(MAX(INT(N(J45)),0),7)+1)</f>
        <v>0</v>
      </c>
      <c r="S45" s="60" t="n">
        <f aca="false">ROUND(Q45-R45,0)</f>
        <v>7108</v>
      </c>
      <c r="T45" s="57" t="n">
        <f aca="false">ROUND(N($E45)*Paramètres!$C$13,0)</f>
        <v>5322</v>
      </c>
      <c r="U45" s="57" t="n">
        <f aca="false">ROUND(MAX(0,N($E45)-(Q45-R45)-M45)*Paramètres!$C$12,0)</f>
        <v>1605</v>
      </c>
      <c r="V45" s="60" t="n">
        <f aca="false">ROUND(N($E45)-M45-S45-U45,0)</f>
        <v>158918</v>
      </c>
    </row>
    <row r="46" customFormat="false" ht="17.25" hidden="false" customHeight="true" outlineLevel="0" collapsed="false">
      <c r="B46" s="53" t="n">
        <v>37</v>
      </c>
      <c r="C46" s="54" t="s">
        <v>52</v>
      </c>
      <c r="D46" s="55" t="n">
        <v>44562</v>
      </c>
      <c r="E46" s="56" t="n">
        <f aca="false">'Juill-aout-sept 2026'!F44</f>
        <v>866830</v>
      </c>
      <c r="F46" s="57" t="n">
        <f aca="false">MIN(ROUNDDOWN(N($E46)*Paramètres!$C$16,0),Paramètres!$D$16)</f>
        <v>75000</v>
      </c>
      <c r="G46" s="57" t="n">
        <f aca="false">MIN(ROUNDDOWN(N($E46)*Paramètres!$C$17,0),Paramètres!$D$17)</f>
        <v>30000</v>
      </c>
      <c r="H46" s="57" t="n">
        <f aca="false">MIN(ROUNDDOWN(N($E46)*Paramètres!$C$18,0),Paramètres!$D$18)</f>
        <v>43341</v>
      </c>
      <c r="I46" s="57" t="n">
        <f aca="false">N($E46)-(F46+G46+H46)</f>
        <v>718489</v>
      </c>
      <c r="J46" s="58" t="n">
        <v>0</v>
      </c>
      <c r="K46" s="59" t="str">
        <f aca="false">IF(I46&lt;Paramètres!$C$11,"Cadre inférieur","Cadre supérieur")</f>
        <v>Cadre supérieur</v>
      </c>
      <c r="L46" s="57" t="n">
        <f aca="false">MIN(F46,MIN(N($E46)*Paramètres!$C$16,Paramètres!$D$16))+MIN(G46,MIN(N($E46)*Paramètres!$C$17,Paramètres!$D$17))+MIN(H46,MIN(N($E46)*Paramètres!$C$18,Paramètres!$D$18))</f>
        <v>148341</v>
      </c>
      <c r="M46" s="57" t="n">
        <f aca="false">MIN(N($E46),Paramètres!$C$7)*Paramètres!$C$6</f>
        <v>44000</v>
      </c>
      <c r="N46" s="57" t="n">
        <f aca="false">MIN(M46,I46*Paramètres!$C$8)</f>
        <v>44000</v>
      </c>
      <c r="O46" s="57" t="n">
        <f aca="false">I46*IF(K46="Cadre supérieur",Paramètres!$C$10,Paramètres!$C$9)</f>
        <v>143697.8</v>
      </c>
      <c r="P46" s="57" t="n">
        <f aca="false">MAX(0,ROUNDDOWN(N($E46)-L46-N46-O46,-2))</f>
        <v>530700</v>
      </c>
      <c r="Q46" s="57" t="n">
        <f aca="false">SUMPRODUCT((P46&gt;Paramètres!$B$21:$B$27)*(P46-Paramètres!$B$21:$B$27)*Paramètres!$E$21:$E$27)</f>
        <v>109605</v>
      </c>
      <c r="R46" s="57" t="n">
        <f aca="false">Q46*INDEX(Paramètres!$C$31:$C$38,MIN(MAX(INT(N(J46)),0),7)+1)</f>
        <v>0</v>
      </c>
      <c r="S46" s="60" t="n">
        <f aca="false">ROUND(Q46-R46,0)</f>
        <v>109605</v>
      </c>
      <c r="T46" s="57" t="n">
        <f aca="false">ROUND(N($E46)*Paramètres!$C$13,0)</f>
        <v>26005</v>
      </c>
      <c r="U46" s="57" t="n">
        <f aca="false">ROUND(MAX(0,N($E46)-(Q46-R46)-M46)*Paramètres!$C$12,0)</f>
        <v>7132</v>
      </c>
      <c r="V46" s="60" t="n">
        <f aca="false">ROUND(N($E46)-M46-S46-U46,0)</f>
        <v>706093</v>
      </c>
    </row>
    <row r="47" customFormat="false" ht="17.25" hidden="false" customHeight="true" outlineLevel="0" collapsed="false">
      <c r="B47" s="53" t="n">
        <v>38</v>
      </c>
      <c r="C47" s="54" t="s">
        <v>53</v>
      </c>
      <c r="D47" s="55" t="n">
        <v>46213</v>
      </c>
      <c r="E47" s="56" t="n">
        <f aca="false">'Juill-aout-sept 2026'!F45</f>
        <v>177387</v>
      </c>
      <c r="F47" s="57" t="n">
        <f aca="false">MIN(ROUNDDOWN(N($E47)*Paramètres!$C$16,0),Paramètres!$D$16)</f>
        <v>35477</v>
      </c>
      <c r="G47" s="57" t="n">
        <f aca="false">MIN(ROUNDDOWN(N($E47)*Paramètres!$C$17,0),Paramètres!$D$17)</f>
        <v>8869</v>
      </c>
      <c r="H47" s="57" t="n">
        <f aca="false">MIN(ROUNDDOWN(N($E47)*Paramètres!$C$18,0),Paramètres!$D$18)</f>
        <v>8869</v>
      </c>
      <c r="I47" s="57" t="n">
        <f aca="false">N($E47)-(F47+G47+H47)</f>
        <v>124172</v>
      </c>
      <c r="J47" s="58" t="n">
        <v>0</v>
      </c>
      <c r="K47" s="59" t="str">
        <f aca="false">IF(I47&lt;Paramètres!$C$11,"Cadre inférieur","Cadre supérieur")</f>
        <v>Cadre inférieur</v>
      </c>
      <c r="L47" s="57" t="n">
        <f aca="false">MIN(F47,MIN(N($E47)*Paramètres!$C$16,Paramètres!$D$16))+MIN(G47,MIN(N($E47)*Paramètres!$C$17,Paramètres!$D$17))+MIN(H47,MIN(N($E47)*Paramètres!$C$18,Paramètres!$D$18))</f>
        <v>53215</v>
      </c>
      <c r="M47" s="57" t="n">
        <f aca="false">MIN(N($E47),Paramètres!$C$7)*Paramètres!$C$6</f>
        <v>9756.285</v>
      </c>
      <c r="N47" s="57" t="n">
        <f aca="false">MIN(M47,I47*Paramètres!$C$8)</f>
        <v>9756.285</v>
      </c>
      <c r="O47" s="57" t="n">
        <f aca="false">I47*IF(K47="Cadre supérieur",Paramètres!$C$10,Paramètres!$C$9)</f>
        <v>31043</v>
      </c>
      <c r="P47" s="57" t="n">
        <f aca="false">MAX(0,ROUNDDOWN(N($E47)-L47-N47-O47,-2))</f>
        <v>83300</v>
      </c>
      <c r="Q47" s="57" t="n">
        <f aca="false">SUMPRODUCT((P47&gt;Paramètres!$B$21:$B$27)*(P47-Paramètres!$B$21:$B$27)*Paramètres!$E$21:$E$27)</f>
        <v>7108.1</v>
      </c>
      <c r="R47" s="57" t="n">
        <f aca="false">Q47*INDEX(Paramètres!$C$31:$C$38,MIN(MAX(INT(N(J47)),0),7)+1)</f>
        <v>0</v>
      </c>
      <c r="S47" s="60" t="n">
        <f aca="false">ROUND(Q47-R47,0)</f>
        <v>7108</v>
      </c>
      <c r="T47" s="57" t="n">
        <f aca="false">ROUND(N($E47)*Paramètres!$C$13,0)</f>
        <v>5322</v>
      </c>
      <c r="U47" s="57" t="n">
        <f aca="false">ROUND(MAX(0,N($E47)-(Q47-R47)-M47)*Paramètres!$C$12,0)</f>
        <v>1605</v>
      </c>
      <c r="V47" s="60" t="n">
        <f aca="false">ROUND(N($E47)-M47-S47-U47,0)</f>
        <v>158918</v>
      </c>
    </row>
    <row r="48" customFormat="false" ht="17.25" hidden="false" customHeight="true" outlineLevel="0" collapsed="false">
      <c r="B48" s="53" t="n">
        <v>39</v>
      </c>
      <c r="C48" s="54" t="s">
        <v>54</v>
      </c>
      <c r="D48" s="55" t="n">
        <v>46218</v>
      </c>
      <c r="E48" s="56" t="n">
        <f aca="false">'Juill-aout-sept 2026'!F46</f>
        <v>177387</v>
      </c>
      <c r="F48" s="57" t="n">
        <f aca="false">MIN(ROUNDDOWN(N($E48)*Paramètres!$C$16,0),Paramètres!$D$16)</f>
        <v>35477</v>
      </c>
      <c r="G48" s="57" t="n">
        <f aca="false">MIN(ROUNDDOWN(N($E48)*Paramètres!$C$17,0),Paramètres!$D$17)</f>
        <v>8869</v>
      </c>
      <c r="H48" s="57" t="n">
        <f aca="false">MIN(ROUNDDOWN(N($E48)*Paramètres!$C$18,0),Paramètres!$D$18)</f>
        <v>8869</v>
      </c>
      <c r="I48" s="57" t="n">
        <f aca="false">N($E48)-(F48+G48+H48)</f>
        <v>124172</v>
      </c>
      <c r="J48" s="58" t="n">
        <v>0</v>
      </c>
      <c r="K48" s="59" t="str">
        <f aca="false">IF(I48&lt;Paramètres!$C$11,"Cadre inférieur","Cadre supérieur")</f>
        <v>Cadre inférieur</v>
      </c>
      <c r="L48" s="57" t="n">
        <f aca="false">MIN(F48,MIN(N($E48)*Paramètres!$C$16,Paramètres!$D$16))+MIN(G48,MIN(N($E48)*Paramètres!$C$17,Paramètres!$D$17))+MIN(H48,MIN(N($E48)*Paramètres!$C$18,Paramètres!$D$18))</f>
        <v>53215</v>
      </c>
      <c r="M48" s="57" t="n">
        <f aca="false">MIN(N($E48),Paramètres!$C$7)*Paramètres!$C$6</f>
        <v>9756.285</v>
      </c>
      <c r="N48" s="57" t="n">
        <f aca="false">MIN(M48,I48*Paramètres!$C$8)</f>
        <v>9756.285</v>
      </c>
      <c r="O48" s="57" t="n">
        <f aca="false">I48*IF(K48="Cadre supérieur",Paramètres!$C$10,Paramètres!$C$9)</f>
        <v>31043</v>
      </c>
      <c r="P48" s="57" t="n">
        <f aca="false">MAX(0,ROUNDDOWN(N($E48)-L48-N48-O48,-2))</f>
        <v>83300</v>
      </c>
      <c r="Q48" s="57" t="n">
        <f aca="false">SUMPRODUCT((P48&gt;Paramètres!$B$21:$B$27)*(P48-Paramètres!$B$21:$B$27)*Paramètres!$E$21:$E$27)</f>
        <v>7108.1</v>
      </c>
      <c r="R48" s="57" t="n">
        <f aca="false">Q48*INDEX(Paramètres!$C$31:$C$38,MIN(MAX(INT(N(J48)),0),7)+1)</f>
        <v>0</v>
      </c>
      <c r="S48" s="60" t="n">
        <f aca="false">ROUND(Q48-R48,0)</f>
        <v>7108</v>
      </c>
      <c r="T48" s="57" t="n">
        <f aca="false">ROUND(N($E48)*Paramètres!$C$13,0)</f>
        <v>5322</v>
      </c>
      <c r="U48" s="57" t="n">
        <f aca="false">ROUND(MAX(0,N($E48)-(Q48-R48)-M48)*Paramètres!$C$12,0)</f>
        <v>1605</v>
      </c>
      <c r="V48" s="60" t="n">
        <f aca="false">ROUND(N($E48)-M48-S48-U48,0)</f>
        <v>158918</v>
      </c>
    </row>
    <row r="49" customFormat="false" ht="17.25" hidden="false" customHeight="true" outlineLevel="0" collapsed="false">
      <c r="B49" s="53" t="n">
        <v>40</v>
      </c>
      <c r="C49" s="54" t="s">
        <v>55</v>
      </c>
      <c r="D49" s="55" t="n">
        <v>46144</v>
      </c>
      <c r="E49" s="56" t="n">
        <f aca="false">'Juill-aout-sept 2026'!F47</f>
        <v>108397</v>
      </c>
      <c r="F49" s="57" t="n">
        <f aca="false">MIN(ROUNDDOWN(N($E49)*Paramètres!$C$16,0),Paramètres!$D$16)</f>
        <v>21679</v>
      </c>
      <c r="G49" s="57" t="n">
        <f aca="false">MIN(ROUNDDOWN(N($E49)*Paramètres!$C$17,0),Paramètres!$D$17)</f>
        <v>5419</v>
      </c>
      <c r="H49" s="57" t="n">
        <f aca="false">MIN(ROUNDDOWN(N($E49)*Paramètres!$C$18,0),Paramètres!$D$18)</f>
        <v>5419</v>
      </c>
      <c r="I49" s="57" t="n">
        <f aca="false">N($E49)-(F49+G49+H49)</f>
        <v>75880</v>
      </c>
      <c r="J49" s="58" t="n">
        <v>0</v>
      </c>
      <c r="K49" s="59" t="str">
        <f aca="false">IF(I49&lt;Paramètres!$C$11,"Cadre inférieur","Cadre supérieur")</f>
        <v>Cadre inférieur</v>
      </c>
      <c r="L49" s="57" t="n">
        <f aca="false">MIN(F49,MIN(N($E49)*Paramètres!$C$16,Paramètres!$D$16))+MIN(G49,MIN(N($E49)*Paramètres!$C$17,Paramètres!$D$17))+MIN(H49,MIN(N($E49)*Paramètres!$C$18,Paramètres!$D$18))</f>
        <v>32517</v>
      </c>
      <c r="M49" s="57" t="n">
        <f aca="false">MIN(N($E49),Paramètres!$C$7)*Paramètres!$C$6</f>
        <v>5961.835</v>
      </c>
      <c r="N49" s="57" t="n">
        <f aca="false">MIN(M49,I49*Paramètres!$C$8)</f>
        <v>5961.835</v>
      </c>
      <c r="O49" s="57" t="n">
        <f aca="false">I49*IF(K49="Cadre supérieur",Paramètres!$C$10,Paramètres!$C$9)</f>
        <v>18970</v>
      </c>
      <c r="P49" s="57" t="n">
        <f aca="false">MAX(0,ROUNDDOWN(N($E49)-L49-N49-O49,-2))</f>
        <v>50900</v>
      </c>
      <c r="Q49" s="57" t="n">
        <f aca="false">SUMPRODUCT((P49&gt;Paramètres!$B$21:$B$27)*(P49-Paramètres!$B$21:$B$27)*Paramètres!$E$21:$E$27)</f>
        <v>2545.1</v>
      </c>
      <c r="R49" s="57" t="n">
        <f aca="false">Q49*INDEX(Paramètres!$C$31:$C$38,MIN(MAX(INT(N(J49)),0),7)+1)</f>
        <v>0</v>
      </c>
      <c r="S49" s="60" t="n">
        <f aca="false">ROUND(Q49-R49,0)</f>
        <v>2545</v>
      </c>
      <c r="T49" s="57" t="n">
        <f aca="false">ROUND(N($E49)*Paramètres!$C$13,0)</f>
        <v>3252</v>
      </c>
      <c r="U49" s="57" t="n">
        <f aca="false">ROUND(MAX(0,N($E49)-(Q49-R49)-M49)*Paramètres!$C$12,0)</f>
        <v>999</v>
      </c>
      <c r="V49" s="60" t="n">
        <f aca="false">ROUND(N($E49)-M49-S49-U49,0)</f>
        <v>98891</v>
      </c>
    </row>
    <row r="50" customFormat="false" ht="17.25" hidden="false" customHeight="true" outlineLevel="0" collapsed="false">
      <c r="B50" s="53" t="n">
        <v>41</v>
      </c>
      <c r="C50" s="54" t="s">
        <v>56</v>
      </c>
      <c r="D50" s="55"/>
      <c r="E50" s="56" t="n">
        <f aca="false">'Juill-aout-sept 2026'!F48</f>
        <v>225778</v>
      </c>
      <c r="F50" s="57" t="n">
        <f aca="false">MIN(ROUNDDOWN(N($E50)*Paramètres!$C$16,0),Paramètres!$D$16)</f>
        <v>45155</v>
      </c>
      <c r="G50" s="57" t="n">
        <f aca="false">MIN(ROUNDDOWN(N($E50)*Paramètres!$C$17,0),Paramètres!$D$17)</f>
        <v>11288</v>
      </c>
      <c r="H50" s="57" t="n">
        <f aca="false">MIN(ROUNDDOWN(N($E50)*Paramètres!$C$18,0),Paramètres!$D$18)</f>
        <v>11288</v>
      </c>
      <c r="I50" s="57" t="n">
        <f aca="false">N($E50)-(F50+G50+H50)</f>
        <v>158047</v>
      </c>
      <c r="J50" s="58" t="n">
        <v>0</v>
      </c>
      <c r="K50" s="59" t="str">
        <f aca="false">IF(I50&lt;Paramètres!$C$11,"Cadre inférieur","Cadre supérieur")</f>
        <v>Cadre supérieur</v>
      </c>
      <c r="L50" s="57" t="n">
        <f aca="false">MIN(F50,MIN(N($E50)*Paramètres!$C$16,Paramètres!$D$16))+MIN(G50,MIN(N($E50)*Paramètres!$C$17,Paramètres!$D$17))+MIN(H50,MIN(N($E50)*Paramètres!$C$18,Paramètres!$D$18))</f>
        <v>67731</v>
      </c>
      <c r="M50" s="57" t="n">
        <f aca="false">MIN(N($E50),Paramètres!$C$7)*Paramètres!$C$6</f>
        <v>12417.79</v>
      </c>
      <c r="N50" s="57" t="n">
        <f aca="false">MIN(M50,I50*Paramètres!$C$8)</f>
        <v>12417.79</v>
      </c>
      <c r="O50" s="57" t="n">
        <f aca="false">I50*IF(K50="Cadre supérieur",Paramètres!$C$10,Paramètres!$C$9)</f>
        <v>31609.4</v>
      </c>
      <c r="P50" s="57" t="n">
        <f aca="false">MAX(0,ROUNDDOWN(N($E50)-L50-N50-O50,-2))</f>
        <v>114000</v>
      </c>
      <c r="Q50" s="57" t="n">
        <f aca="false">SUMPRODUCT((P50&gt;Paramètres!$B$21:$B$27)*(P50-Paramètres!$B$21:$B$27)*Paramètres!$E$21:$E$27)</f>
        <v>11928</v>
      </c>
      <c r="R50" s="57" t="n">
        <f aca="false">Q50*INDEX(Paramètres!$C$31:$C$38,MIN(MAX(INT(N(J50)),0),7)+1)</f>
        <v>0</v>
      </c>
      <c r="S50" s="60" t="n">
        <f aca="false">ROUND(Q50-R50,0)</f>
        <v>11928</v>
      </c>
      <c r="T50" s="57" t="n">
        <f aca="false">ROUND(N($E50)*Paramètres!$C$13,0)</f>
        <v>6773</v>
      </c>
      <c r="U50" s="57" t="n">
        <f aca="false">ROUND(MAX(0,N($E50)-(Q50-R50)-M50)*Paramètres!$C$12,0)</f>
        <v>2014</v>
      </c>
      <c r="V50" s="60" t="n">
        <f aca="false">ROUND(N($E50)-M50-S50-U50,0)</f>
        <v>199418</v>
      </c>
    </row>
    <row r="51" customFormat="false" ht="17.25" hidden="false" customHeight="true" outlineLevel="0" collapsed="false">
      <c r="B51" s="53" t="n">
        <v>42</v>
      </c>
      <c r="C51" s="54" t="s">
        <v>57</v>
      </c>
      <c r="D51" s="55" t="n">
        <v>46011</v>
      </c>
      <c r="E51" s="56" t="n">
        <f aca="false">'Juill-aout-sept 2026'!F49</f>
        <v>177387</v>
      </c>
      <c r="F51" s="57" t="n">
        <f aca="false">MIN(ROUNDDOWN(N($E51)*Paramètres!$C$16,0),Paramètres!$D$16)</f>
        <v>35477</v>
      </c>
      <c r="G51" s="57" t="n">
        <f aca="false">MIN(ROUNDDOWN(N($E51)*Paramètres!$C$17,0),Paramètres!$D$17)</f>
        <v>8869</v>
      </c>
      <c r="H51" s="57" t="n">
        <f aca="false">MIN(ROUNDDOWN(N($E51)*Paramètres!$C$18,0),Paramètres!$D$18)</f>
        <v>8869</v>
      </c>
      <c r="I51" s="57" t="n">
        <f aca="false">N($E51)-(F51+G51+H51)</f>
        <v>124172</v>
      </c>
      <c r="J51" s="58" t="n">
        <v>0</v>
      </c>
      <c r="K51" s="59" t="str">
        <f aca="false">IF(I51&lt;Paramètres!$C$11,"Cadre inférieur","Cadre supérieur")</f>
        <v>Cadre inférieur</v>
      </c>
      <c r="L51" s="57" t="n">
        <f aca="false">MIN(F51,MIN(N($E51)*Paramètres!$C$16,Paramètres!$D$16))+MIN(G51,MIN(N($E51)*Paramètres!$C$17,Paramètres!$D$17))+MIN(H51,MIN(N($E51)*Paramètres!$C$18,Paramètres!$D$18))</f>
        <v>53215</v>
      </c>
      <c r="M51" s="57" t="n">
        <f aca="false">MIN(N($E51),Paramètres!$C$7)*Paramètres!$C$6</f>
        <v>9756.285</v>
      </c>
      <c r="N51" s="57" t="n">
        <f aca="false">MIN(M51,I51*Paramètres!$C$8)</f>
        <v>9756.285</v>
      </c>
      <c r="O51" s="57" t="n">
        <f aca="false">I51*IF(K51="Cadre supérieur",Paramètres!$C$10,Paramètres!$C$9)</f>
        <v>31043</v>
      </c>
      <c r="P51" s="57" t="n">
        <f aca="false">MAX(0,ROUNDDOWN(N($E51)-L51-N51-O51,-2))</f>
        <v>83300</v>
      </c>
      <c r="Q51" s="57" t="n">
        <f aca="false">SUMPRODUCT((P51&gt;Paramètres!$B$21:$B$27)*(P51-Paramètres!$B$21:$B$27)*Paramètres!$E$21:$E$27)</f>
        <v>7108.1</v>
      </c>
      <c r="R51" s="57" t="n">
        <f aca="false">Q51*INDEX(Paramètres!$C$31:$C$38,MIN(MAX(INT(N(J51)),0),7)+1)</f>
        <v>0</v>
      </c>
      <c r="S51" s="60" t="n">
        <f aca="false">ROUND(Q51-R51,0)</f>
        <v>7108</v>
      </c>
      <c r="T51" s="57" t="n">
        <f aca="false">ROUND(N($E51)*Paramètres!$C$13,0)</f>
        <v>5322</v>
      </c>
      <c r="U51" s="57" t="n">
        <f aca="false">ROUND(MAX(0,N($E51)-(Q51-R51)-M51)*Paramètres!$C$12,0)</f>
        <v>1605</v>
      </c>
      <c r="V51" s="60" t="n">
        <f aca="false">ROUND(N($E51)-M51-S51-U51,0)</f>
        <v>158918</v>
      </c>
    </row>
    <row r="52" customFormat="false" ht="17.25" hidden="false" customHeight="true" outlineLevel="0" collapsed="false">
      <c r="B52" s="53" t="n">
        <v>43</v>
      </c>
      <c r="C52" s="54" t="s">
        <v>58</v>
      </c>
      <c r="D52" s="55" t="n">
        <v>46183</v>
      </c>
      <c r="E52" s="56" t="n">
        <f aca="false">'Juill-aout-sept 2026'!F50</f>
        <v>177387</v>
      </c>
      <c r="F52" s="57" t="n">
        <f aca="false">MIN(ROUNDDOWN(N($E52)*Paramètres!$C$16,0),Paramètres!$D$16)</f>
        <v>35477</v>
      </c>
      <c r="G52" s="57" t="n">
        <f aca="false">MIN(ROUNDDOWN(N($E52)*Paramètres!$C$17,0),Paramètres!$D$17)</f>
        <v>8869</v>
      </c>
      <c r="H52" s="57" t="n">
        <f aca="false">MIN(ROUNDDOWN(N($E52)*Paramètres!$C$18,0),Paramètres!$D$18)</f>
        <v>8869</v>
      </c>
      <c r="I52" s="57" t="n">
        <f aca="false">N($E52)-(F52+G52+H52)</f>
        <v>124172</v>
      </c>
      <c r="J52" s="58" t="n">
        <v>0</v>
      </c>
      <c r="K52" s="59" t="str">
        <f aca="false">IF(I52&lt;Paramètres!$C$11,"Cadre inférieur","Cadre supérieur")</f>
        <v>Cadre inférieur</v>
      </c>
      <c r="L52" s="57" t="n">
        <f aca="false">MIN(F52,MIN(N($E52)*Paramètres!$C$16,Paramètres!$D$16))+MIN(G52,MIN(N($E52)*Paramètres!$C$17,Paramètres!$D$17))+MIN(H52,MIN(N($E52)*Paramètres!$C$18,Paramètres!$D$18))</f>
        <v>53215</v>
      </c>
      <c r="M52" s="57" t="n">
        <f aca="false">MIN(N($E52),Paramètres!$C$7)*Paramètres!$C$6</f>
        <v>9756.285</v>
      </c>
      <c r="N52" s="57" t="n">
        <f aca="false">MIN(M52,I52*Paramètres!$C$8)</f>
        <v>9756.285</v>
      </c>
      <c r="O52" s="57" t="n">
        <f aca="false">I52*IF(K52="Cadre supérieur",Paramètres!$C$10,Paramètres!$C$9)</f>
        <v>31043</v>
      </c>
      <c r="P52" s="57" t="n">
        <f aca="false">MAX(0,ROUNDDOWN(N($E52)-L52-N52-O52,-2))</f>
        <v>83300</v>
      </c>
      <c r="Q52" s="57" t="n">
        <f aca="false">SUMPRODUCT((P52&gt;Paramètres!$B$21:$B$27)*(P52-Paramètres!$B$21:$B$27)*Paramètres!$E$21:$E$27)</f>
        <v>7108.1</v>
      </c>
      <c r="R52" s="57" t="n">
        <f aca="false">Q52*INDEX(Paramètres!$C$31:$C$38,MIN(MAX(INT(N(J52)),0),7)+1)</f>
        <v>0</v>
      </c>
      <c r="S52" s="60" t="n">
        <f aca="false">ROUND(Q52-R52,0)</f>
        <v>7108</v>
      </c>
      <c r="T52" s="57" t="n">
        <f aca="false">ROUND(N($E52)*Paramètres!$C$13,0)</f>
        <v>5322</v>
      </c>
      <c r="U52" s="57" t="n">
        <f aca="false">ROUND(MAX(0,N($E52)-(Q52-R52)-M52)*Paramètres!$C$12,0)</f>
        <v>1605</v>
      </c>
      <c r="V52" s="60" t="n">
        <f aca="false">ROUND(N($E52)-M52-S52-U52,0)</f>
        <v>158918</v>
      </c>
    </row>
    <row r="53" customFormat="false" ht="17.25" hidden="false" customHeight="true" outlineLevel="0" collapsed="false">
      <c r="B53" s="53" t="n">
        <v>44</v>
      </c>
      <c r="C53" s="54" t="s">
        <v>59</v>
      </c>
      <c r="D53" s="55" t="n">
        <v>45784</v>
      </c>
      <c r="E53" s="56" t="n">
        <f aca="false">'Juill-aout-sept 2026'!F51</f>
        <v>108397</v>
      </c>
      <c r="F53" s="57" t="n">
        <f aca="false">MIN(ROUNDDOWN(N($E53)*Paramètres!$C$16,0),Paramètres!$D$16)</f>
        <v>21679</v>
      </c>
      <c r="G53" s="57" t="n">
        <f aca="false">MIN(ROUNDDOWN(N($E53)*Paramètres!$C$17,0),Paramètres!$D$17)</f>
        <v>5419</v>
      </c>
      <c r="H53" s="57" t="n">
        <f aca="false">MIN(ROUNDDOWN(N($E53)*Paramètres!$C$18,0),Paramètres!$D$18)</f>
        <v>5419</v>
      </c>
      <c r="I53" s="57" t="n">
        <f aca="false">N($E53)-(F53+G53+H53)</f>
        <v>75880</v>
      </c>
      <c r="J53" s="58" t="n">
        <v>0</v>
      </c>
      <c r="K53" s="59" t="str">
        <f aca="false">IF(I53&lt;Paramètres!$C$11,"Cadre inférieur","Cadre supérieur")</f>
        <v>Cadre inférieur</v>
      </c>
      <c r="L53" s="57" t="n">
        <f aca="false">MIN(F53,MIN(N($E53)*Paramètres!$C$16,Paramètres!$D$16))+MIN(G53,MIN(N($E53)*Paramètres!$C$17,Paramètres!$D$17))+MIN(H53,MIN(N($E53)*Paramètres!$C$18,Paramètres!$D$18))</f>
        <v>32517</v>
      </c>
      <c r="M53" s="57" t="n">
        <f aca="false">MIN(N($E53),Paramètres!$C$7)*Paramètres!$C$6</f>
        <v>5961.835</v>
      </c>
      <c r="N53" s="57" t="n">
        <f aca="false">MIN(M53,I53*Paramètres!$C$8)</f>
        <v>5961.835</v>
      </c>
      <c r="O53" s="57" t="n">
        <f aca="false">I53*IF(K53="Cadre supérieur",Paramètres!$C$10,Paramètres!$C$9)</f>
        <v>18970</v>
      </c>
      <c r="P53" s="57" t="n">
        <f aca="false">MAX(0,ROUNDDOWN(N($E53)-L53-N53-O53,-2))</f>
        <v>50900</v>
      </c>
      <c r="Q53" s="57" t="n">
        <f aca="false">SUMPRODUCT((P53&gt;Paramètres!$B$21:$B$27)*(P53-Paramètres!$B$21:$B$27)*Paramètres!$E$21:$E$27)</f>
        <v>2545.1</v>
      </c>
      <c r="R53" s="57" t="n">
        <f aca="false">Q53*INDEX(Paramètres!$C$31:$C$38,MIN(MAX(INT(N(J53)),0),7)+1)</f>
        <v>0</v>
      </c>
      <c r="S53" s="60" t="n">
        <f aca="false">ROUND(Q53-R53,0)</f>
        <v>2545</v>
      </c>
      <c r="T53" s="57" t="n">
        <f aca="false">ROUND(N($E53)*Paramètres!$C$13,0)</f>
        <v>3252</v>
      </c>
      <c r="U53" s="57" t="n">
        <f aca="false">ROUND(MAX(0,N($E53)-(Q53-R53)-M53)*Paramètres!$C$12,0)</f>
        <v>999</v>
      </c>
      <c r="V53" s="60" t="n">
        <f aca="false">ROUND(N($E53)-M53-S53-U53,0)</f>
        <v>98891</v>
      </c>
    </row>
    <row r="54" customFormat="false" ht="17.25" hidden="false" customHeight="true" outlineLevel="0" collapsed="false">
      <c r="B54" s="53" t="n">
        <v>45</v>
      </c>
      <c r="C54" s="54" t="s">
        <v>60</v>
      </c>
      <c r="D54" s="55" t="n">
        <v>46000</v>
      </c>
      <c r="E54" s="56" t="n">
        <f aca="false">'Juill-aout-sept 2026'!F52</f>
        <v>177387</v>
      </c>
      <c r="F54" s="57" t="n">
        <f aca="false">MIN(ROUNDDOWN(N($E54)*Paramètres!$C$16,0),Paramètres!$D$16)</f>
        <v>35477</v>
      </c>
      <c r="G54" s="57" t="n">
        <f aca="false">MIN(ROUNDDOWN(N($E54)*Paramètres!$C$17,0),Paramètres!$D$17)</f>
        <v>8869</v>
      </c>
      <c r="H54" s="57" t="n">
        <f aca="false">MIN(ROUNDDOWN(N($E54)*Paramètres!$C$18,0),Paramètres!$D$18)</f>
        <v>8869</v>
      </c>
      <c r="I54" s="57" t="n">
        <f aca="false">N($E54)-(F54+G54+H54)</f>
        <v>124172</v>
      </c>
      <c r="J54" s="58" t="n">
        <v>0</v>
      </c>
      <c r="K54" s="59" t="str">
        <f aca="false">IF(I54&lt;Paramètres!$C$11,"Cadre inférieur","Cadre supérieur")</f>
        <v>Cadre inférieur</v>
      </c>
      <c r="L54" s="57" t="n">
        <f aca="false">MIN(F54,MIN(N($E54)*Paramètres!$C$16,Paramètres!$D$16))+MIN(G54,MIN(N($E54)*Paramètres!$C$17,Paramètres!$D$17))+MIN(H54,MIN(N($E54)*Paramètres!$C$18,Paramètres!$D$18))</f>
        <v>53215</v>
      </c>
      <c r="M54" s="57" t="n">
        <f aca="false">MIN(N($E54),Paramètres!$C$7)*Paramètres!$C$6</f>
        <v>9756.285</v>
      </c>
      <c r="N54" s="57" t="n">
        <f aca="false">MIN(M54,I54*Paramètres!$C$8)</f>
        <v>9756.285</v>
      </c>
      <c r="O54" s="57" t="n">
        <f aca="false">I54*IF(K54="Cadre supérieur",Paramètres!$C$10,Paramètres!$C$9)</f>
        <v>31043</v>
      </c>
      <c r="P54" s="57" t="n">
        <f aca="false">MAX(0,ROUNDDOWN(N($E54)-L54-N54-O54,-2))</f>
        <v>83300</v>
      </c>
      <c r="Q54" s="57" t="n">
        <f aca="false">SUMPRODUCT((P54&gt;Paramètres!$B$21:$B$27)*(P54-Paramètres!$B$21:$B$27)*Paramètres!$E$21:$E$27)</f>
        <v>7108.1</v>
      </c>
      <c r="R54" s="57" t="n">
        <f aca="false">Q54*INDEX(Paramètres!$C$31:$C$38,MIN(MAX(INT(N(J54)),0),7)+1)</f>
        <v>0</v>
      </c>
      <c r="S54" s="60" t="n">
        <f aca="false">ROUND(Q54-R54,0)</f>
        <v>7108</v>
      </c>
      <c r="T54" s="57" t="n">
        <f aca="false">ROUND(N($E54)*Paramètres!$C$13,0)</f>
        <v>5322</v>
      </c>
      <c r="U54" s="57" t="n">
        <f aca="false">ROUND(MAX(0,N($E54)-(Q54-R54)-M54)*Paramètres!$C$12,0)</f>
        <v>1605</v>
      </c>
      <c r="V54" s="60" t="n">
        <f aca="false">ROUND(N($E54)-M54-S54-U54,0)</f>
        <v>158918</v>
      </c>
    </row>
    <row r="55" customFormat="false" ht="17.25" hidden="false" customHeight="true" outlineLevel="0" collapsed="false">
      <c r="B55" s="53" t="n">
        <v>46</v>
      </c>
      <c r="C55" s="54" t="s">
        <v>61</v>
      </c>
      <c r="D55" s="55" t="n">
        <v>46204</v>
      </c>
      <c r="E55" s="56" t="n">
        <f aca="false">'Juill-aout-sept 2026'!F53</f>
        <v>177387</v>
      </c>
      <c r="F55" s="57" t="n">
        <f aca="false">MIN(ROUNDDOWN(N($E55)*Paramètres!$C$16,0),Paramètres!$D$16)</f>
        <v>35477</v>
      </c>
      <c r="G55" s="57" t="n">
        <f aca="false">MIN(ROUNDDOWN(N($E55)*Paramètres!$C$17,0),Paramètres!$D$17)</f>
        <v>8869</v>
      </c>
      <c r="H55" s="57" t="n">
        <f aca="false">MIN(ROUNDDOWN(N($E55)*Paramètres!$C$18,0),Paramètres!$D$18)</f>
        <v>8869</v>
      </c>
      <c r="I55" s="57" t="n">
        <f aca="false">N($E55)-(F55+G55+H55)</f>
        <v>124172</v>
      </c>
      <c r="J55" s="58" t="n">
        <v>0</v>
      </c>
      <c r="K55" s="59" t="str">
        <f aca="false">IF(I55&lt;Paramètres!$C$11,"Cadre inférieur","Cadre supérieur")</f>
        <v>Cadre inférieur</v>
      </c>
      <c r="L55" s="57" t="n">
        <f aca="false">MIN(F55,MIN(N($E55)*Paramètres!$C$16,Paramètres!$D$16))+MIN(G55,MIN(N($E55)*Paramètres!$C$17,Paramètres!$D$17))+MIN(H55,MIN(N($E55)*Paramètres!$C$18,Paramètres!$D$18))</f>
        <v>53215</v>
      </c>
      <c r="M55" s="57" t="n">
        <f aca="false">MIN(N($E55),Paramètres!$C$7)*Paramètres!$C$6</f>
        <v>9756.285</v>
      </c>
      <c r="N55" s="57" t="n">
        <f aca="false">MIN(M55,I55*Paramètres!$C$8)</f>
        <v>9756.285</v>
      </c>
      <c r="O55" s="57" t="n">
        <f aca="false">I55*IF(K55="Cadre supérieur",Paramètres!$C$10,Paramètres!$C$9)</f>
        <v>31043</v>
      </c>
      <c r="P55" s="57" t="n">
        <f aca="false">MAX(0,ROUNDDOWN(N($E55)-L55-N55-O55,-2))</f>
        <v>83300</v>
      </c>
      <c r="Q55" s="57" t="n">
        <f aca="false">SUMPRODUCT((P55&gt;Paramètres!$B$21:$B$27)*(P55-Paramètres!$B$21:$B$27)*Paramètres!$E$21:$E$27)</f>
        <v>7108.1</v>
      </c>
      <c r="R55" s="57" t="n">
        <f aca="false">Q55*INDEX(Paramètres!$C$31:$C$38,MIN(MAX(INT(N(J55)),0),7)+1)</f>
        <v>0</v>
      </c>
      <c r="S55" s="60" t="n">
        <f aca="false">ROUND(Q55-R55,0)</f>
        <v>7108</v>
      </c>
      <c r="T55" s="57" t="n">
        <f aca="false">ROUND(N($E55)*Paramètres!$C$13,0)</f>
        <v>5322</v>
      </c>
      <c r="U55" s="57" t="n">
        <f aca="false">ROUND(MAX(0,N($E55)-(Q55-R55)-M55)*Paramètres!$C$12,0)</f>
        <v>1605</v>
      </c>
      <c r="V55" s="60" t="n">
        <f aca="false">ROUND(N($E55)-M55-S55-U55,0)</f>
        <v>158918</v>
      </c>
    </row>
    <row r="56" customFormat="false" ht="17.25" hidden="false" customHeight="true" outlineLevel="0" collapsed="false">
      <c r="B56" s="53" t="n">
        <v>47</v>
      </c>
      <c r="C56" s="54" t="s">
        <v>62</v>
      </c>
      <c r="D56" s="55" t="n">
        <v>46088</v>
      </c>
      <c r="E56" s="56" t="n">
        <f aca="false">'Juill-aout-sept 2026'!F54</f>
        <v>135983</v>
      </c>
      <c r="F56" s="57" t="n">
        <f aca="false">MIN(ROUNDDOWN(N($E56)*Paramètres!$C$16,0),Paramètres!$D$16)</f>
        <v>27196</v>
      </c>
      <c r="G56" s="57" t="n">
        <f aca="false">MIN(ROUNDDOWN(N($E56)*Paramètres!$C$17,0),Paramètres!$D$17)</f>
        <v>6799</v>
      </c>
      <c r="H56" s="57" t="n">
        <f aca="false">MIN(ROUNDDOWN(N($E56)*Paramètres!$C$18,0),Paramètres!$D$18)</f>
        <v>6799</v>
      </c>
      <c r="I56" s="57" t="n">
        <f aca="false">N($E56)-(F56+G56+H56)</f>
        <v>95189</v>
      </c>
      <c r="J56" s="58" t="n">
        <v>0</v>
      </c>
      <c r="K56" s="59" t="str">
        <f aca="false">IF(I56&lt;Paramètres!$C$11,"Cadre inférieur","Cadre supérieur")</f>
        <v>Cadre inférieur</v>
      </c>
      <c r="L56" s="57" t="n">
        <f aca="false">MIN(F56,MIN(N($E56)*Paramètres!$C$16,Paramètres!$D$16))+MIN(G56,MIN(N($E56)*Paramètres!$C$17,Paramètres!$D$17))+MIN(H56,MIN(N($E56)*Paramètres!$C$18,Paramètres!$D$18))</f>
        <v>40794</v>
      </c>
      <c r="M56" s="57" t="n">
        <f aca="false">MIN(N($E56),Paramètres!$C$7)*Paramètres!$C$6</f>
        <v>7479.065</v>
      </c>
      <c r="N56" s="57" t="n">
        <f aca="false">MIN(M56,I56*Paramètres!$C$8)</f>
        <v>7479.065</v>
      </c>
      <c r="O56" s="57" t="n">
        <f aca="false">I56*IF(K56="Cadre supérieur",Paramètres!$C$10,Paramètres!$C$9)</f>
        <v>23797.25</v>
      </c>
      <c r="P56" s="57" t="n">
        <f aca="false">MAX(0,ROUNDDOWN(N($E56)-L56-N56-O56,-2))</f>
        <v>63900</v>
      </c>
      <c r="Q56" s="57" t="n">
        <f aca="false">SUMPRODUCT((P56&gt;Paramètres!$B$21:$B$27)*(P56-Paramètres!$B$21:$B$27)*Paramètres!$E$21:$E$27)</f>
        <v>4352.1</v>
      </c>
      <c r="R56" s="57" t="n">
        <f aca="false">Q56*INDEX(Paramètres!$C$31:$C$38,MIN(MAX(INT(N(J56)),0),7)+1)</f>
        <v>0</v>
      </c>
      <c r="S56" s="60" t="n">
        <f aca="false">ROUND(Q56-R56,0)</f>
        <v>4352</v>
      </c>
      <c r="T56" s="57" t="n">
        <f aca="false">ROUND(N($E56)*Paramètres!$C$13,0)</f>
        <v>4079</v>
      </c>
      <c r="U56" s="57" t="n">
        <f aca="false">ROUND(MAX(0,N($E56)-(Q56-R56)-M56)*Paramètres!$C$12,0)</f>
        <v>1242</v>
      </c>
      <c r="V56" s="60" t="n">
        <f aca="false">ROUND(N($E56)-M56-S56-U56,0)</f>
        <v>122910</v>
      </c>
    </row>
    <row r="57" customFormat="false" ht="17.25" hidden="false" customHeight="true" outlineLevel="0" collapsed="false">
      <c r="B57" s="53" t="n">
        <v>48</v>
      </c>
      <c r="C57" s="54" t="s">
        <v>63</v>
      </c>
      <c r="D57" s="55" t="n">
        <v>45766</v>
      </c>
      <c r="E57" s="56" t="n">
        <f aca="false">'Juill-aout-sept 2026'!F55</f>
        <v>471355</v>
      </c>
      <c r="F57" s="57" t="n">
        <f aca="false">MIN(ROUNDDOWN(N($E57)*Paramètres!$C$16,0),Paramètres!$D$16)</f>
        <v>75000</v>
      </c>
      <c r="G57" s="57" t="n">
        <f aca="false">MIN(ROUNDDOWN(N($E57)*Paramètres!$C$17,0),Paramètres!$D$17)</f>
        <v>23567</v>
      </c>
      <c r="H57" s="57" t="n">
        <f aca="false">MIN(ROUNDDOWN(N($E57)*Paramètres!$C$18,0),Paramètres!$D$18)</f>
        <v>23567</v>
      </c>
      <c r="I57" s="57" t="n">
        <f aca="false">N($E57)-(F57+G57+H57)</f>
        <v>349221</v>
      </c>
      <c r="J57" s="58" t="n">
        <v>0</v>
      </c>
      <c r="K57" s="59" t="str">
        <f aca="false">IF(I57&lt;Paramètres!$C$11,"Cadre inférieur","Cadre supérieur")</f>
        <v>Cadre supérieur</v>
      </c>
      <c r="L57" s="57" t="n">
        <f aca="false">MIN(F57,MIN(N($E57)*Paramètres!$C$16,Paramètres!$D$16))+MIN(G57,MIN(N($E57)*Paramètres!$C$17,Paramètres!$D$17))+MIN(H57,MIN(N($E57)*Paramètres!$C$18,Paramètres!$D$18))</f>
        <v>122134</v>
      </c>
      <c r="M57" s="57" t="n">
        <f aca="false">MIN(N($E57),Paramètres!$C$7)*Paramètres!$C$6</f>
        <v>25924.525</v>
      </c>
      <c r="N57" s="57" t="n">
        <f aca="false">MIN(M57,I57*Paramètres!$C$8)</f>
        <v>25924.525</v>
      </c>
      <c r="O57" s="57" t="n">
        <f aca="false">I57*IF(K57="Cadre supérieur",Paramètres!$C$10,Paramètres!$C$9)</f>
        <v>69844.2</v>
      </c>
      <c r="P57" s="57" t="n">
        <f aca="false">MAX(0,ROUNDDOWN(N($E57)-L57-N57-O57,-2))</f>
        <v>253400</v>
      </c>
      <c r="Q57" s="57" t="n">
        <f aca="false">SUMPRODUCT((P57&gt;Paramètres!$B$21:$B$27)*(P57-Paramètres!$B$21:$B$27)*Paramètres!$E$21:$E$27)</f>
        <v>40280</v>
      </c>
      <c r="R57" s="57" t="n">
        <f aca="false">Q57*INDEX(Paramètres!$C$31:$C$38,MIN(MAX(INT(N(J57)),0),7)+1)</f>
        <v>0</v>
      </c>
      <c r="S57" s="60" t="n">
        <f aca="false">ROUND(Q57-R57,0)</f>
        <v>40280</v>
      </c>
      <c r="T57" s="57" t="n">
        <f aca="false">ROUND(N($E57)*Paramètres!$C$13,0)</f>
        <v>14141</v>
      </c>
      <c r="U57" s="57" t="n">
        <f aca="false">ROUND(MAX(0,N($E57)-(Q57-R57)-M57)*Paramètres!$C$12,0)</f>
        <v>4052</v>
      </c>
      <c r="V57" s="60" t="n">
        <f aca="false">ROUND(N($E57)-M57-S57-U57,0)</f>
        <v>401098</v>
      </c>
    </row>
    <row r="58" customFormat="false" ht="17.25" hidden="false" customHeight="true" outlineLevel="0" collapsed="false">
      <c r="B58" s="53" t="n">
        <v>49</v>
      </c>
      <c r="C58" s="54" t="s">
        <v>64</v>
      </c>
      <c r="D58" s="55" t="n">
        <v>45778</v>
      </c>
      <c r="E58" s="56" t="n">
        <f aca="false">'Juill-aout-sept 2026'!F56</f>
        <v>213563</v>
      </c>
      <c r="F58" s="57" t="n">
        <f aca="false">MIN(ROUNDDOWN(N($E58)*Paramètres!$C$16,0),Paramètres!$D$16)</f>
        <v>42712</v>
      </c>
      <c r="G58" s="57" t="n">
        <f aca="false">MIN(ROUNDDOWN(N($E58)*Paramètres!$C$17,0),Paramètres!$D$17)</f>
        <v>10678</v>
      </c>
      <c r="H58" s="57" t="n">
        <f aca="false">MIN(ROUNDDOWN(N($E58)*Paramètres!$C$18,0),Paramètres!$D$18)</f>
        <v>10678</v>
      </c>
      <c r="I58" s="57" t="n">
        <f aca="false">N($E58)-(F58+G58+H58)</f>
        <v>149495</v>
      </c>
      <c r="J58" s="58" t="n">
        <v>0</v>
      </c>
      <c r="K58" s="59" t="str">
        <f aca="false">IF(I58&lt;Paramètres!$C$11,"Cadre inférieur","Cadre supérieur")</f>
        <v>Cadre inférieur</v>
      </c>
      <c r="L58" s="57" t="n">
        <f aca="false">MIN(F58,MIN(N($E58)*Paramètres!$C$16,Paramètres!$D$16))+MIN(G58,MIN(N($E58)*Paramètres!$C$17,Paramètres!$D$17))+MIN(H58,MIN(N($E58)*Paramètres!$C$18,Paramètres!$D$18))</f>
        <v>64068</v>
      </c>
      <c r="M58" s="57" t="n">
        <f aca="false">MIN(N($E58),Paramètres!$C$7)*Paramètres!$C$6</f>
        <v>11745.965</v>
      </c>
      <c r="N58" s="57" t="n">
        <f aca="false">MIN(M58,I58*Paramètres!$C$8)</f>
        <v>11745.965</v>
      </c>
      <c r="O58" s="57" t="n">
        <f aca="false">I58*IF(K58="Cadre supérieur",Paramètres!$C$10,Paramètres!$C$9)</f>
        <v>37373.75</v>
      </c>
      <c r="P58" s="57" t="n">
        <f aca="false">MAX(0,ROUNDDOWN(N($E58)-L58-N58-O58,-2))</f>
        <v>100300</v>
      </c>
      <c r="Q58" s="57" t="n">
        <f aca="false">SUMPRODUCT((P58&gt;Paramètres!$B$21:$B$27)*(P58-Paramètres!$B$21:$B$27)*Paramètres!$E$21:$E$27)</f>
        <v>9777.1</v>
      </c>
      <c r="R58" s="57" t="n">
        <f aca="false">Q58*INDEX(Paramètres!$C$31:$C$38,MIN(MAX(INT(N(J58)),0),7)+1)</f>
        <v>0</v>
      </c>
      <c r="S58" s="60" t="n">
        <f aca="false">ROUND(Q58-R58,0)</f>
        <v>9777</v>
      </c>
      <c r="T58" s="57" t="n">
        <f aca="false">ROUND(N($E58)*Paramètres!$C$13,0)</f>
        <v>6407</v>
      </c>
      <c r="U58" s="57" t="n">
        <f aca="false">ROUND(MAX(0,N($E58)-(Q58-R58)-M58)*Paramètres!$C$12,0)</f>
        <v>1920</v>
      </c>
      <c r="V58" s="60" t="n">
        <f aca="false">ROUND(N($E58)-M58-S58-U58,0)</f>
        <v>190120</v>
      </c>
    </row>
    <row r="59" customFormat="false" ht="17.25" hidden="false" customHeight="true" outlineLevel="0" collapsed="false">
      <c r="B59" s="53" t="n">
        <v>50</v>
      </c>
      <c r="C59" s="54" t="s">
        <v>7</v>
      </c>
      <c r="D59" s="55" t="n">
        <v>45778</v>
      </c>
      <c r="E59" s="56" t="n">
        <f aca="false">'Juill-aout-sept 2026'!F57</f>
        <v>213563</v>
      </c>
      <c r="F59" s="57" t="n">
        <f aca="false">MIN(ROUNDDOWN(N($E59)*Paramètres!$C$16,0),Paramètres!$D$16)</f>
        <v>42712</v>
      </c>
      <c r="G59" s="57" t="n">
        <f aca="false">MIN(ROUNDDOWN(N($E59)*Paramètres!$C$17,0),Paramètres!$D$17)</f>
        <v>10678</v>
      </c>
      <c r="H59" s="57" t="n">
        <f aca="false">MIN(ROUNDDOWN(N($E59)*Paramètres!$C$18,0),Paramètres!$D$18)</f>
        <v>10678</v>
      </c>
      <c r="I59" s="57" t="n">
        <f aca="false">N($E59)-(F59+G59+H59)</f>
        <v>149495</v>
      </c>
      <c r="J59" s="58" t="n">
        <v>0</v>
      </c>
      <c r="K59" s="59" t="str">
        <f aca="false">IF(I59&lt;Paramètres!$C$11,"Cadre inférieur","Cadre supérieur")</f>
        <v>Cadre inférieur</v>
      </c>
      <c r="L59" s="57" t="n">
        <f aca="false">MIN(F59,MIN(N($E59)*Paramètres!$C$16,Paramètres!$D$16))+MIN(G59,MIN(N($E59)*Paramètres!$C$17,Paramètres!$D$17))+MIN(H59,MIN(N($E59)*Paramètres!$C$18,Paramètres!$D$18))</f>
        <v>64068</v>
      </c>
      <c r="M59" s="57" t="n">
        <f aca="false">MIN(N($E59),Paramètres!$C$7)*Paramètres!$C$6</f>
        <v>11745.965</v>
      </c>
      <c r="N59" s="57" t="n">
        <f aca="false">MIN(M59,I59*Paramètres!$C$8)</f>
        <v>11745.965</v>
      </c>
      <c r="O59" s="57" t="n">
        <f aca="false">I59*IF(K59="Cadre supérieur",Paramètres!$C$10,Paramètres!$C$9)</f>
        <v>37373.75</v>
      </c>
      <c r="P59" s="57" t="n">
        <f aca="false">MAX(0,ROUNDDOWN(N($E59)-L59-N59-O59,-2))</f>
        <v>100300</v>
      </c>
      <c r="Q59" s="57" t="n">
        <f aca="false">SUMPRODUCT((P59&gt;Paramètres!$B$21:$B$27)*(P59-Paramètres!$B$21:$B$27)*Paramètres!$E$21:$E$27)</f>
        <v>9777.1</v>
      </c>
      <c r="R59" s="57" t="n">
        <f aca="false">Q59*INDEX(Paramètres!$C$31:$C$38,MIN(MAX(INT(N(J59)),0),7)+1)</f>
        <v>0</v>
      </c>
      <c r="S59" s="60" t="n">
        <f aca="false">ROUND(Q59-R59,0)</f>
        <v>9777</v>
      </c>
      <c r="T59" s="57" t="n">
        <f aca="false">ROUND(N($E59)*Paramètres!$C$13,0)</f>
        <v>6407</v>
      </c>
      <c r="U59" s="57" t="n">
        <f aca="false">ROUND(MAX(0,N($E59)-(Q59-R59)-M59)*Paramètres!$C$12,0)</f>
        <v>1920</v>
      </c>
      <c r="V59" s="60" t="n">
        <f aca="false">ROUND(N($E59)-M59-S59-U59,0)</f>
        <v>190120</v>
      </c>
    </row>
    <row r="60" customFormat="false" ht="17.25" hidden="false" customHeight="true" outlineLevel="0" collapsed="false">
      <c r="B60" s="53"/>
      <c r="C60" s="54" t="s">
        <v>65</v>
      </c>
      <c r="D60" s="55"/>
      <c r="E60" s="56" t="n">
        <f aca="false">'Juill-aout-sept 2026'!F58</f>
        <v>0</v>
      </c>
      <c r="F60" s="57" t="n">
        <f aca="false">MIN(ROUNDDOWN(N($E60)*Paramètres!$C$16,0),Paramètres!$D$16)</f>
        <v>0</v>
      </c>
      <c r="G60" s="57" t="n">
        <f aca="false">MIN(ROUNDDOWN(N($E60)*Paramètres!$C$17,0),Paramètres!$D$17)</f>
        <v>0</v>
      </c>
      <c r="H60" s="57" t="n">
        <f aca="false">MIN(ROUNDDOWN(N($E60)*Paramètres!$C$18,0),Paramètres!$D$18)</f>
        <v>0</v>
      </c>
      <c r="I60" s="57" t="n">
        <f aca="false">N($E60)-(F60+G60+H60)</f>
        <v>0</v>
      </c>
      <c r="J60" s="58" t="n">
        <v>0</v>
      </c>
      <c r="K60" s="59" t="str">
        <f aca="false">IF(I60&lt;Paramètres!$C$11,"Cadre inférieur","Cadre supérieur")</f>
        <v>Cadre inférieur</v>
      </c>
      <c r="L60" s="57" t="n">
        <f aca="false">MIN(F60,MIN(N($E60)*Paramètres!$C$16,Paramètres!$D$16))+MIN(G60,MIN(N($E60)*Paramètres!$C$17,Paramètres!$D$17))+MIN(H60,MIN(N($E60)*Paramètres!$C$18,Paramètres!$D$18))</f>
        <v>0</v>
      </c>
      <c r="M60" s="57" t="n">
        <f aca="false">MIN(N($E60),Paramètres!$C$7)*Paramètres!$C$6</f>
        <v>0</v>
      </c>
      <c r="N60" s="57" t="n">
        <f aca="false">MIN(M60,I60*Paramètres!$C$8)</f>
        <v>0</v>
      </c>
      <c r="O60" s="57" t="n">
        <f aca="false">I60*IF(K60="Cadre supérieur",Paramètres!$C$10,Paramètres!$C$9)</f>
        <v>0</v>
      </c>
      <c r="P60" s="57" t="n">
        <f aca="false">MAX(0,ROUNDDOWN(N($E60)-L60-N60-O60,-2))</f>
        <v>0</v>
      </c>
      <c r="Q60" s="57" t="n">
        <f aca="false">SUMPRODUCT((P60&gt;Paramètres!$B$21:$B$27)*(P60-Paramètres!$B$21:$B$27)*Paramètres!$E$21:$E$27)</f>
        <v>0</v>
      </c>
      <c r="R60" s="57" t="n">
        <f aca="false">Q60*INDEX(Paramètres!$C$31:$C$38,MIN(MAX(INT(N(J60)),0),7)+1)</f>
        <v>0</v>
      </c>
      <c r="S60" s="60" t="n">
        <f aca="false">ROUND(Q60-R60,0)</f>
        <v>0</v>
      </c>
      <c r="T60" s="57" t="n">
        <f aca="false">ROUND(N($E60)*Paramètres!$C$13,0)</f>
        <v>0</v>
      </c>
      <c r="U60" s="57" t="n">
        <f aca="false">ROUND(MAX(0,N($E60)-(Q60-R60)-M60)*Paramètres!$C$12,0)</f>
        <v>0</v>
      </c>
      <c r="V60" s="60" t="n">
        <f aca="false">ROUND(N($E60)-M60-S60-U60,0)</f>
        <v>0</v>
      </c>
    </row>
    <row r="61" customFormat="false" ht="17.25" hidden="false" customHeight="true" outlineLevel="0" collapsed="false">
      <c r="B61" s="53" t="n">
        <v>51</v>
      </c>
      <c r="C61" s="54" t="s">
        <v>66</v>
      </c>
      <c r="D61" s="55" t="n">
        <v>45778</v>
      </c>
      <c r="E61" s="56" t="n">
        <f aca="false">'Juill-aout-sept 2026'!F59</f>
        <v>213566</v>
      </c>
      <c r="F61" s="57" t="n">
        <f aca="false">MIN(ROUNDDOWN(N($E61)*Paramètres!$C$16,0),Paramètres!$D$16)</f>
        <v>42713</v>
      </c>
      <c r="G61" s="57" t="n">
        <f aca="false">MIN(ROUNDDOWN(N($E61)*Paramètres!$C$17,0),Paramètres!$D$17)</f>
        <v>10678</v>
      </c>
      <c r="H61" s="57" t="n">
        <f aca="false">MIN(ROUNDDOWN(N($E61)*Paramètres!$C$18,0),Paramètres!$D$18)</f>
        <v>10678</v>
      </c>
      <c r="I61" s="57" t="n">
        <f aca="false">N($E61)-(F61+G61+H61)</f>
        <v>149497</v>
      </c>
      <c r="J61" s="58" t="n">
        <v>0</v>
      </c>
      <c r="K61" s="59" t="str">
        <f aca="false">IF(I61&lt;Paramètres!$C$11,"Cadre inférieur","Cadre supérieur")</f>
        <v>Cadre inférieur</v>
      </c>
      <c r="L61" s="57" t="n">
        <f aca="false">MIN(F61,MIN(N($E61)*Paramètres!$C$16,Paramètres!$D$16))+MIN(G61,MIN(N($E61)*Paramètres!$C$17,Paramètres!$D$17))+MIN(H61,MIN(N($E61)*Paramètres!$C$18,Paramètres!$D$18))</f>
        <v>64069</v>
      </c>
      <c r="M61" s="57" t="n">
        <f aca="false">MIN(N($E61),Paramètres!$C$7)*Paramètres!$C$6</f>
        <v>11746.13</v>
      </c>
      <c r="N61" s="57" t="n">
        <f aca="false">MIN(M61,I61*Paramètres!$C$8)</f>
        <v>11746.13</v>
      </c>
      <c r="O61" s="57" t="n">
        <f aca="false">I61*IF(K61="Cadre supérieur",Paramètres!$C$10,Paramètres!$C$9)</f>
        <v>37374.25</v>
      </c>
      <c r="P61" s="57" t="n">
        <f aca="false">MAX(0,ROUNDDOWN(N($E61)-L61-N61-O61,-2))</f>
        <v>100300</v>
      </c>
      <c r="Q61" s="57" t="n">
        <f aca="false">SUMPRODUCT((P61&gt;Paramètres!$B$21:$B$27)*(P61-Paramètres!$B$21:$B$27)*Paramètres!$E$21:$E$27)</f>
        <v>9777.1</v>
      </c>
      <c r="R61" s="57" t="n">
        <f aca="false">Q61*INDEX(Paramètres!$C$31:$C$38,MIN(MAX(INT(N(J61)),0),7)+1)</f>
        <v>0</v>
      </c>
      <c r="S61" s="60" t="n">
        <f aca="false">ROUND(Q61-R61,0)</f>
        <v>9777</v>
      </c>
      <c r="T61" s="57" t="n">
        <f aca="false">ROUND(N($E61)*Paramètres!$C$13,0)</f>
        <v>6407</v>
      </c>
      <c r="U61" s="57" t="n">
        <f aca="false">ROUND(MAX(0,N($E61)-(Q61-R61)-M61)*Paramètres!$C$12,0)</f>
        <v>1920</v>
      </c>
      <c r="V61" s="60" t="n">
        <f aca="false">ROUND(N($E61)-M61-S61-U61,0)</f>
        <v>190123</v>
      </c>
    </row>
    <row r="62" customFormat="false" ht="17.25" hidden="false" customHeight="true" outlineLevel="0" collapsed="false">
      <c r="B62" s="53" t="n">
        <v>52</v>
      </c>
      <c r="C62" s="54" t="s">
        <v>67</v>
      </c>
      <c r="D62" s="55" t="n">
        <v>46235</v>
      </c>
      <c r="E62" s="56" t="n">
        <f aca="false">'Juill-aout-sept 2026'!F60</f>
        <v>177387</v>
      </c>
      <c r="F62" s="57" t="n">
        <f aca="false">MIN(ROUNDDOWN(N($E62)*Paramètres!$C$16,0),Paramètres!$D$16)</f>
        <v>35477</v>
      </c>
      <c r="G62" s="57" t="n">
        <f aca="false">MIN(ROUNDDOWN(N($E62)*Paramètres!$C$17,0),Paramètres!$D$17)</f>
        <v>8869</v>
      </c>
      <c r="H62" s="57" t="n">
        <f aca="false">MIN(ROUNDDOWN(N($E62)*Paramètres!$C$18,0),Paramètres!$D$18)</f>
        <v>8869</v>
      </c>
      <c r="I62" s="57" t="n">
        <f aca="false">N($E62)-(F62+G62+H62)</f>
        <v>124172</v>
      </c>
      <c r="J62" s="58" t="n">
        <v>0</v>
      </c>
      <c r="K62" s="59" t="str">
        <f aca="false">IF(I62&lt;Paramètres!$C$11,"Cadre inférieur","Cadre supérieur")</f>
        <v>Cadre inférieur</v>
      </c>
      <c r="L62" s="57" t="n">
        <f aca="false">MIN(F62,MIN(N($E62)*Paramètres!$C$16,Paramètres!$D$16))+MIN(G62,MIN(N($E62)*Paramètres!$C$17,Paramètres!$D$17))+MIN(H62,MIN(N($E62)*Paramètres!$C$18,Paramètres!$D$18))</f>
        <v>53215</v>
      </c>
      <c r="M62" s="57" t="n">
        <f aca="false">MIN(N($E62),Paramètres!$C$7)*Paramètres!$C$6</f>
        <v>9756.285</v>
      </c>
      <c r="N62" s="57" t="n">
        <f aca="false">MIN(M62,I62*Paramètres!$C$8)</f>
        <v>9756.285</v>
      </c>
      <c r="O62" s="57" t="n">
        <f aca="false">I62*IF(K62="Cadre supérieur",Paramètres!$C$10,Paramètres!$C$9)</f>
        <v>31043</v>
      </c>
      <c r="P62" s="57" t="n">
        <f aca="false">MAX(0,ROUNDDOWN(N($E62)-L62-N62-O62,-2))</f>
        <v>83300</v>
      </c>
      <c r="Q62" s="57" t="n">
        <f aca="false">SUMPRODUCT((P62&gt;Paramètres!$B$21:$B$27)*(P62-Paramètres!$B$21:$B$27)*Paramètres!$E$21:$E$27)</f>
        <v>7108.1</v>
      </c>
      <c r="R62" s="57" t="n">
        <f aca="false">Q62*INDEX(Paramètres!$C$31:$C$38,MIN(MAX(INT(N(J62)),0),7)+1)</f>
        <v>0</v>
      </c>
      <c r="S62" s="60" t="n">
        <f aca="false">ROUND(Q62-R62,0)</f>
        <v>7108</v>
      </c>
      <c r="T62" s="57" t="n">
        <f aca="false">ROUND(N($E62)*Paramètres!$C$13,0)</f>
        <v>5322</v>
      </c>
      <c r="U62" s="57" t="n">
        <f aca="false">ROUND(MAX(0,N($E62)-(Q62-R62)-M62)*Paramètres!$C$12,0)</f>
        <v>1605</v>
      </c>
      <c r="V62" s="60" t="n">
        <f aca="false">ROUND(N($E62)-M62-S62-U62,0)</f>
        <v>158918</v>
      </c>
    </row>
    <row r="63" customFormat="false" ht="17.25" hidden="false" customHeight="true" outlineLevel="0" collapsed="false">
      <c r="B63" s="53" t="n">
        <v>53</v>
      </c>
      <c r="C63" s="54" t="s">
        <v>68</v>
      </c>
      <c r="D63" s="55" t="n">
        <v>46175</v>
      </c>
      <c r="E63" s="56" t="n">
        <f aca="false">'Juill-aout-sept 2026'!F61</f>
        <v>213566</v>
      </c>
      <c r="F63" s="57" t="n">
        <f aca="false">MIN(ROUNDDOWN(N($E63)*Paramètres!$C$16,0),Paramètres!$D$16)</f>
        <v>42713</v>
      </c>
      <c r="G63" s="57" t="n">
        <f aca="false">MIN(ROUNDDOWN(N($E63)*Paramètres!$C$17,0),Paramètres!$D$17)</f>
        <v>10678</v>
      </c>
      <c r="H63" s="57" t="n">
        <f aca="false">MIN(ROUNDDOWN(N($E63)*Paramètres!$C$18,0),Paramètres!$D$18)</f>
        <v>10678</v>
      </c>
      <c r="I63" s="57" t="n">
        <f aca="false">N($E63)-(F63+G63+H63)</f>
        <v>149497</v>
      </c>
      <c r="J63" s="58" t="n">
        <v>0</v>
      </c>
      <c r="K63" s="59" t="str">
        <f aca="false">IF(I63&lt;Paramètres!$C$11,"Cadre inférieur","Cadre supérieur")</f>
        <v>Cadre inférieur</v>
      </c>
      <c r="L63" s="57" t="n">
        <f aca="false">MIN(F63,MIN(N($E63)*Paramètres!$C$16,Paramètres!$D$16))+MIN(G63,MIN(N($E63)*Paramètres!$C$17,Paramètres!$D$17))+MIN(H63,MIN(N($E63)*Paramètres!$C$18,Paramètres!$D$18))</f>
        <v>64069</v>
      </c>
      <c r="M63" s="57" t="n">
        <f aca="false">MIN(N($E63),Paramètres!$C$7)*Paramètres!$C$6</f>
        <v>11746.13</v>
      </c>
      <c r="N63" s="57" t="n">
        <f aca="false">MIN(M63,I63*Paramètres!$C$8)</f>
        <v>11746.13</v>
      </c>
      <c r="O63" s="57" t="n">
        <f aca="false">I63*IF(K63="Cadre supérieur",Paramètres!$C$10,Paramètres!$C$9)</f>
        <v>37374.25</v>
      </c>
      <c r="P63" s="57" t="n">
        <f aca="false">MAX(0,ROUNDDOWN(N($E63)-L63-N63-O63,-2))</f>
        <v>100300</v>
      </c>
      <c r="Q63" s="57" t="n">
        <f aca="false">SUMPRODUCT((P63&gt;Paramètres!$B$21:$B$27)*(P63-Paramètres!$B$21:$B$27)*Paramètres!$E$21:$E$27)</f>
        <v>9777.1</v>
      </c>
      <c r="R63" s="57" t="n">
        <f aca="false">Q63*INDEX(Paramètres!$C$31:$C$38,MIN(MAX(INT(N(J63)),0),7)+1)</f>
        <v>0</v>
      </c>
      <c r="S63" s="60" t="n">
        <f aca="false">ROUND(Q63-R63,0)</f>
        <v>9777</v>
      </c>
      <c r="T63" s="57" t="n">
        <f aca="false">ROUND(N($E63)*Paramètres!$C$13,0)</f>
        <v>6407</v>
      </c>
      <c r="U63" s="57" t="n">
        <f aca="false">ROUND(MAX(0,N($E63)-(Q63-R63)-M63)*Paramètres!$C$12,0)</f>
        <v>1920</v>
      </c>
      <c r="V63" s="60" t="n">
        <f aca="false">ROUND(N($E63)-M63-S63-U63,0)</f>
        <v>190123</v>
      </c>
    </row>
    <row r="64" customFormat="false" ht="17.25" hidden="false" customHeight="true" outlineLevel="0" collapsed="false">
      <c r="B64" s="53" t="n">
        <v>54</v>
      </c>
      <c r="C64" s="54" t="s">
        <v>69</v>
      </c>
      <c r="D64" s="55" t="n">
        <v>45901</v>
      </c>
      <c r="E64" s="56" t="n">
        <f aca="false">'Juill-aout-sept 2026'!F62</f>
        <v>213566</v>
      </c>
      <c r="F64" s="57" t="n">
        <f aca="false">MIN(ROUNDDOWN(N($E64)*Paramètres!$C$16,0),Paramètres!$D$16)</f>
        <v>42713</v>
      </c>
      <c r="G64" s="57" t="n">
        <f aca="false">MIN(ROUNDDOWN(N($E64)*Paramètres!$C$17,0),Paramètres!$D$17)</f>
        <v>10678</v>
      </c>
      <c r="H64" s="57" t="n">
        <f aca="false">MIN(ROUNDDOWN(N($E64)*Paramètres!$C$18,0),Paramètres!$D$18)</f>
        <v>10678</v>
      </c>
      <c r="I64" s="57" t="n">
        <f aca="false">N($E64)-(F64+G64+H64)</f>
        <v>149497</v>
      </c>
      <c r="J64" s="58" t="n">
        <v>0</v>
      </c>
      <c r="K64" s="59" t="str">
        <f aca="false">IF(I64&lt;Paramètres!$C$11,"Cadre inférieur","Cadre supérieur")</f>
        <v>Cadre inférieur</v>
      </c>
      <c r="L64" s="57" t="n">
        <f aca="false">MIN(F64,MIN(N($E64)*Paramètres!$C$16,Paramètres!$D$16))+MIN(G64,MIN(N($E64)*Paramètres!$C$17,Paramètres!$D$17))+MIN(H64,MIN(N($E64)*Paramètres!$C$18,Paramètres!$D$18))</f>
        <v>64069</v>
      </c>
      <c r="M64" s="57" t="n">
        <f aca="false">MIN(N($E64),Paramètres!$C$7)*Paramètres!$C$6</f>
        <v>11746.13</v>
      </c>
      <c r="N64" s="57" t="n">
        <f aca="false">MIN(M64,I64*Paramètres!$C$8)</f>
        <v>11746.13</v>
      </c>
      <c r="O64" s="57" t="n">
        <f aca="false">I64*IF(K64="Cadre supérieur",Paramètres!$C$10,Paramètres!$C$9)</f>
        <v>37374.25</v>
      </c>
      <c r="P64" s="57" t="n">
        <f aca="false">MAX(0,ROUNDDOWN(N($E64)-L64-N64-O64,-2))</f>
        <v>100300</v>
      </c>
      <c r="Q64" s="57" t="n">
        <f aca="false">SUMPRODUCT((P64&gt;Paramètres!$B$21:$B$27)*(P64-Paramètres!$B$21:$B$27)*Paramètres!$E$21:$E$27)</f>
        <v>9777.1</v>
      </c>
      <c r="R64" s="57" t="n">
        <f aca="false">Q64*INDEX(Paramètres!$C$31:$C$38,MIN(MAX(INT(N(J64)),0),7)+1)</f>
        <v>0</v>
      </c>
      <c r="S64" s="60" t="n">
        <f aca="false">ROUND(Q64-R64,0)</f>
        <v>9777</v>
      </c>
      <c r="T64" s="57" t="n">
        <f aca="false">ROUND(N($E64)*Paramètres!$C$13,0)</f>
        <v>6407</v>
      </c>
      <c r="U64" s="57" t="n">
        <f aca="false">ROUND(MAX(0,N($E64)-(Q64-R64)-M64)*Paramètres!$C$12,0)</f>
        <v>1920</v>
      </c>
      <c r="V64" s="60" t="n">
        <f aca="false">ROUND(N($E64)-M64-S64-U64,0)</f>
        <v>190123</v>
      </c>
    </row>
    <row r="65" customFormat="false" ht="17.25" hidden="false" customHeight="true" outlineLevel="0" collapsed="false">
      <c r="B65" s="53" t="n">
        <v>56</v>
      </c>
      <c r="C65" s="54" t="s">
        <v>70</v>
      </c>
      <c r="D65" s="55" t="n">
        <v>45802</v>
      </c>
      <c r="E65" s="56" t="n">
        <f aca="false">'Juill-aout-sept 2026'!F63</f>
        <v>177387</v>
      </c>
      <c r="F65" s="57" t="n">
        <f aca="false">MIN(ROUNDDOWN(N($E65)*Paramètres!$C$16,0),Paramètres!$D$16)</f>
        <v>35477</v>
      </c>
      <c r="G65" s="57" t="n">
        <f aca="false">MIN(ROUNDDOWN(N($E65)*Paramètres!$C$17,0),Paramètres!$D$17)</f>
        <v>8869</v>
      </c>
      <c r="H65" s="57" t="n">
        <f aca="false">MIN(ROUNDDOWN(N($E65)*Paramètres!$C$18,0),Paramètres!$D$18)</f>
        <v>8869</v>
      </c>
      <c r="I65" s="57" t="n">
        <f aca="false">N($E65)-(F65+G65+H65)</f>
        <v>124172</v>
      </c>
      <c r="J65" s="58" t="n">
        <v>0</v>
      </c>
      <c r="K65" s="59" t="str">
        <f aca="false">IF(I65&lt;Paramètres!$C$11,"Cadre inférieur","Cadre supérieur")</f>
        <v>Cadre inférieur</v>
      </c>
      <c r="L65" s="57" t="n">
        <f aca="false">MIN(F65,MIN(N($E65)*Paramètres!$C$16,Paramètres!$D$16))+MIN(G65,MIN(N($E65)*Paramètres!$C$17,Paramètres!$D$17))+MIN(H65,MIN(N($E65)*Paramètres!$C$18,Paramètres!$D$18))</f>
        <v>53215</v>
      </c>
      <c r="M65" s="57" t="n">
        <f aca="false">MIN(N($E65),Paramètres!$C$7)*Paramètres!$C$6</f>
        <v>9756.285</v>
      </c>
      <c r="N65" s="57" t="n">
        <f aca="false">MIN(M65,I65*Paramètres!$C$8)</f>
        <v>9756.285</v>
      </c>
      <c r="O65" s="57" t="n">
        <f aca="false">I65*IF(K65="Cadre supérieur",Paramètres!$C$10,Paramètres!$C$9)</f>
        <v>31043</v>
      </c>
      <c r="P65" s="57" t="n">
        <f aca="false">MAX(0,ROUNDDOWN(N($E65)-L65-N65-O65,-2))</f>
        <v>83300</v>
      </c>
      <c r="Q65" s="57" t="n">
        <f aca="false">SUMPRODUCT((P65&gt;Paramètres!$B$21:$B$27)*(P65-Paramètres!$B$21:$B$27)*Paramètres!$E$21:$E$27)</f>
        <v>7108.1</v>
      </c>
      <c r="R65" s="57" t="n">
        <f aca="false">Q65*INDEX(Paramètres!$C$31:$C$38,MIN(MAX(INT(N(J65)),0),7)+1)</f>
        <v>0</v>
      </c>
      <c r="S65" s="60" t="n">
        <f aca="false">ROUND(Q65-R65,0)</f>
        <v>7108</v>
      </c>
      <c r="T65" s="57" t="n">
        <f aca="false">ROUND(N($E65)*Paramètres!$C$13,0)</f>
        <v>5322</v>
      </c>
      <c r="U65" s="57" t="n">
        <f aca="false">ROUND(MAX(0,N($E65)-(Q65-R65)-M65)*Paramètres!$C$12,0)</f>
        <v>1605</v>
      </c>
      <c r="V65" s="60" t="n">
        <f aca="false">ROUND(N($E65)-M65-S65-U65,0)</f>
        <v>158918</v>
      </c>
    </row>
    <row r="66" customFormat="false" ht="17.25" hidden="false" customHeight="true" outlineLevel="0" collapsed="false">
      <c r="B66" s="53"/>
      <c r="C66" s="54" t="s">
        <v>70</v>
      </c>
      <c r="D66" s="55"/>
      <c r="E66" s="56" t="n">
        <f aca="false">'Juill-aout-sept 2026'!F64</f>
        <v>108397</v>
      </c>
      <c r="F66" s="57" t="n">
        <f aca="false">MIN(ROUNDDOWN(N($E66)*Paramètres!$C$16,0),Paramètres!$D$16)</f>
        <v>21679</v>
      </c>
      <c r="G66" s="57" t="n">
        <f aca="false">MIN(ROUNDDOWN(N($E66)*Paramètres!$C$17,0),Paramètres!$D$17)</f>
        <v>5419</v>
      </c>
      <c r="H66" s="57" t="n">
        <f aca="false">MIN(ROUNDDOWN(N($E66)*Paramètres!$C$18,0),Paramètres!$D$18)</f>
        <v>5419</v>
      </c>
      <c r="I66" s="57" t="n">
        <f aca="false">N($E66)-(F66+G66+H66)</f>
        <v>75880</v>
      </c>
      <c r="J66" s="58" t="n">
        <v>0</v>
      </c>
      <c r="K66" s="59" t="str">
        <f aca="false">IF(I66&lt;Paramètres!$C$11,"Cadre inférieur","Cadre supérieur")</f>
        <v>Cadre inférieur</v>
      </c>
      <c r="L66" s="57" t="n">
        <f aca="false">MIN(F66,MIN(N($E66)*Paramètres!$C$16,Paramètres!$D$16))+MIN(G66,MIN(N($E66)*Paramètres!$C$17,Paramètres!$D$17))+MIN(H66,MIN(N($E66)*Paramètres!$C$18,Paramètres!$D$18))</f>
        <v>32517</v>
      </c>
      <c r="M66" s="57" t="n">
        <f aca="false">MIN(N($E66),Paramètres!$C$7)*Paramètres!$C$6</f>
        <v>5961.835</v>
      </c>
      <c r="N66" s="57" t="n">
        <f aca="false">MIN(M66,I66*Paramètres!$C$8)</f>
        <v>5961.835</v>
      </c>
      <c r="O66" s="57" t="n">
        <f aca="false">I66*IF(K66="Cadre supérieur",Paramètres!$C$10,Paramètres!$C$9)</f>
        <v>18970</v>
      </c>
      <c r="P66" s="57" t="n">
        <f aca="false">MAX(0,ROUNDDOWN(N($E66)-L66-N66-O66,-2))</f>
        <v>50900</v>
      </c>
      <c r="Q66" s="57" t="n">
        <f aca="false">SUMPRODUCT((P66&gt;Paramètres!$B$21:$B$27)*(P66-Paramètres!$B$21:$B$27)*Paramètres!$E$21:$E$27)</f>
        <v>2545.1</v>
      </c>
      <c r="R66" s="57" t="n">
        <f aca="false">Q66*INDEX(Paramètres!$C$31:$C$38,MIN(MAX(INT(N(J66)),0),7)+1)</f>
        <v>0</v>
      </c>
      <c r="S66" s="60" t="n">
        <f aca="false">ROUND(Q66-R66,0)</f>
        <v>2545</v>
      </c>
      <c r="T66" s="57" t="n">
        <f aca="false">ROUND(N($E66)*Paramètres!$C$13,0)</f>
        <v>3252</v>
      </c>
      <c r="U66" s="57" t="n">
        <f aca="false">ROUND(MAX(0,N($E66)-(Q66-R66)-M66)*Paramètres!$C$12,0)</f>
        <v>999</v>
      </c>
      <c r="V66" s="60" t="n">
        <f aca="false">ROUND(N($E66)-M66-S66-U66,0)</f>
        <v>98891</v>
      </c>
    </row>
    <row r="67" customFormat="false" ht="17.25" hidden="false" customHeight="true" outlineLevel="0" collapsed="false">
      <c r="B67" s="53"/>
      <c r="C67" s="54" t="s">
        <v>71</v>
      </c>
      <c r="D67" s="55"/>
      <c r="E67" s="56" t="n">
        <f aca="false">'Juill-aout-sept 2026'!F65</f>
        <v>0</v>
      </c>
      <c r="F67" s="57" t="n">
        <f aca="false">MIN(ROUNDDOWN(N($E67)*Paramètres!$C$16,0),Paramètres!$D$16)</f>
        <v>0</v>
      </c>
      <c r="G67" s="57" t="n">
        <f aca="false">MIN(ROUNDDOWN(N($E67)*Paramètres!$C$17,0),Paramètres!$D$17)</f>
        <v>0</v>
      </c>
      <c r="H67" s="57" t="n">
        <f aca="false">MIN(ROUNDDOWN(N($E67)*Paramètres!$C$18,0),Paramètres!$D$18)</f>
        <v>0</v>
      </c>
      <c r="I67" s="57" t="n">
        <f aca="false">N($E67)-(F67+G67+H67)</f>
        <v>0</v>
      </c>
      <c r="J67" s="58" t="n">
        <v>0</v>
      </c>
      <c r="K67" s="59" t="str">
        <f aca="false">IF(I67&lt;Paramètres!$C$11,"Cadre inférieur","Cadre supérieur")</f>
        <v>Cadre inférieur</v>
      </c>
      <c r="L67" s="57" t="n">
        <f aca="false">MIN(F67,MIN(N($E67)*Paramètres!$C$16,Paramètres!$D$16))+MIN(G67,MIN(N($E67)*Paramètres!$C$17,Paramètres!$D$17))+MIN(H67,MIN(N($E67)*Paramètres!$C$18,Paramètres!$D$18))</f>
        <v>0</v>
      </c>
      <c r="M67" s="57" t="n">
        <f aca="false">MIN(N($E67),Paramètres!$C$7)*Paramètres!$C$6</f>
        <v>0</v>
      </c>
      <c r="N67" s="57" t="n">
        <f aca="false">MIN(M67,I67*Paramètres!$C$8)</f>
        <v>0</v>
      </c>
      <c r="O67" s="57" t="n">
        <f aca="false">I67*IF(K67="Cadre supérieur",Paramètres!$C$10,Paramètres!$C$9)</f>
        <v>0</v>
      </c>
      <c r="P67" s="57" t="n">
        <f aca="false">MAX(0,ROUNDDOWN(N($E67)-L67-N67-O67,-2))</f>
        <v>0</v>
      </c>
      <c r="Q67" s="57" t="n">
        <f aca="false">SUMPRODUCT((P67&gt;Paramètres!$B$21:$B$27)*(P67-Paramètres!$B$21:$B$27)*Paramètres!$E$21:$E$27)</f>
        <v>0</v>
      </c>
      <c r="R67" s="57" t="n">
        <f aca="false">Q67*INDEX(Paramètres!$C$31:$C$38,MIN(MAX(INT(N(J67)),0),7)+1)</f>
        <v>0</v>
      </c>
      <c r="S67" s="60" t="n">
        <f aca="false">ROUND(Q67-R67,0)</f>
        <v>0</v>
      </c>
      <c r="T67" s="57" t="n">
        <f aca="false">ROUND(N($E67)*Paramètres!$C$13,0)</f>
        <v>0</v>
      </c>
      <c r="U67" s="57" t="n">
        <f aca="false">ROUND(MAX(0,N($E67)-(Q67-R67)-M67)*Paramètres!$C$12,0)</f>
        <v>0</v>
      </c>
      <c r="V67" s="60" t="n">
        <f aca="false">ROUND(N($E67)-M67-S67-U67,0)</f>
        <v>0</v>
      </c>
    </row>
    <row r="68" customFormat="false" ht="17.25" hidden="false" customHeight="true" outlineLevel="0" collapsed="false">
      <c r="B68" s="53" t="n">
        <v>57</v>
      </c>
      <c r="C68" s="54" t="s">
        <v>72</v>
      </c>
      <c r="D68" s="55" t="n">
        <v>45930</v>
      </c>
      <c r="E68" s="56" t="n">
        <f aca="false">'Juill-aout-sept 2026'!F66</f>
        <v>471355</v>
      </c>
      <c r="F68" s="57" t="n">
        <f aca="false">MIN(ROUNDDOWN(N($E68)*Paramètres!$C$16,0),Paramètres!$D$16)</f>
        <v>75000</v>
      </c>
      <c r="G68" s="57" t="n">
        <f aca="false">MIN(ROUNDDOWN(N($E68)*Paramètres!$C$17,0),Paramètres!$D$17)</f>
        <v>23567</v>
      </c>
      <c r="H68" s="57" t="n">
        <f aca="false">MIN(ROUNDDOWN(N($E68)*Paramètres!$C$18,0),Paramètres!$D$18)</f>
        <v>23567</v>
      </c>
      <c r="I68" s="57" t="n">
        <f aca="false">N($E68)-(F68+G68+H68)</f>
        <v>349221</v>
      </c>
      <c r="J68" s="58" t="n">
        <v>0</v>
      </c>
      <c r="K68" s="59" t="str">
        <f aca="false">IF(I68&lt;Paramètres!$C$11,"Cadre inférieur","Cadre supérieur")</f>
        <v>Cadre supérieur</v>
      </c>
      <c r="L68" s="57" t="n">
        <f aca="false">MIN(F68,MIN(N($E68)*Paramètres!$C$16,Paramètres!$D$16))+MIN(G68,MIN(N($E68)*Paramètres!$C$17,Paramètres!$D$17))+MIN(H68,MIN(N($E68)*Paramètres!$C$18,Paramètres!$D$18))</f>
        <v>122134</v>
      </c>
      <c r="M68" s="57" t="n">
        <f aca="false">MIN(N($E68),Paramètres!$C$7)*Paramètres!$C$6</f>
        <v>25924.525</v>
      </c>
      <c r="N68" s="57" t="n">
        <f aca="false">MIN(M68,I68*Paramètres!$C$8)</f>
        <v>25924.525</v>
      </c>
      <c r="O68" s="57" t="n">
        <f aca="false">I68*IF(K68="Cadre supérieur",Paramètres!$C$10,Paramètres!$C$9)</f>
        <v>69844.2</v>
      </c>
      <c r="P68" s="57" t="n">
        <f aca="false">MAX(0,ROUNDDOWN(N($E68)-L68-N68-O68,-2))</f>
        <v>253400</v>
      </c>
      <c r="Q68" s="57" t="n">
        <f aca="false">SUMPRODUCT((P68&gt;Paramètres!$B$21:$B$27)*(P68-Paramètres!$B$21:$B$27)*Paramètres!$E$21:$E$27)</f>
        <v>40280</v>
      </c>
      <c r="R68" s="57" t="n">
        <f aca="false">Q68*INDEX(Paramètres!$C$31:$C$38,MIN(MAX(INT(N(J68)),0),7)+1)</f>
        <v>0</v>
      </c>
      <c r="S68" s="60" t="n">
        <f aca="false">ROUND(Q68-R68,0)</f>
        <v>40280</v>
      </c>
      <c r="T68" s="57" t="n">
        <f aca="false">ROUND(N($E68)*Paramètres!$C$13,0)</f>
        <v>14141</v>
      </c>
      <c r="U68" s="57" t="n">
        <f aca="false">ROUND(MAX(0,N($E68)-(Q68-R68)-M68)*Paramètres!$C$12,0)</f>
        <v>4052</v>
      </c>
      <c r="V68" s="60" t="n">
        <f aca="false">ROUND(N($E68)-M68-S68-U68,0)</f>
        <v>401098</v>
      </c>
    </row>
    <row r="69" customFormat="false" ht="17.25" hidden="false" customHeight="true" outlineLevel="0" collapsed="false">
      <c r="B69" s="53" t="n">
        <v>58</v>
      </c>
      <c r="C69" s="54" t="s">
        <v>73</v>
      </c>
      <c r="D69" s="55" t="n">
        <v>45778</v>
      </c>
      <c r="E69" s="56" t="n">
        <f aca="false">'Juill-aout-sept 2026'!F67</f>
        <v>231913</v>
      </c>
      <c r="F69" s="57" t="n">
        <f aca="false">MIN(ROUNDDOWN(N($E69)*Paramètres!$C$16,0),Paramètres!$D$16)</f>
        <v>46382</v>
      </c>
      <c r="G69" s="57" t="n">
        <f aca="false">MIN(ROUNDDOWN(N($E69)*Paramètres!$C$17,0),Paramètres!$D$17)</f>
        <v>11595</v>
      </c>
      <c r="H69" s="57" t="n">
        <f aca="false">MIN(ROUNDDOWN(N($E69)*Paramètres!$C$18,0),Paramètres!$D$18)</f>
        <v>11595</v>
      </c>
      <c r="I69" s="57" t="n">
        <f aca="false">N($E69)-(F69+G69+H69)</f>
        <v>162341</v>
      </c>
      <c r="J69" s="58" t="n">
        <v>0</v>
      </c>
      <c r="K69" s="59" t="str">
        <f aca="false">IF(I69&lt;Paramètres!$C$11,"Cadre inférieur","Cadre supérieur")</f>
        <v>Cadre supérieur</v>
      </c>
      <c r="L69" s="57" t="n">
        <f aca="false">MIN(F69,MIN(N($E69)*Paramètres!$C$16,Paramètres!$D$16))+MIN(G69,MIN(N($E69)*Paramètres!$C$17,Paramètres!$D$17))+MIN(H69,MIN(N($E69)*Paramètres!$C$18,Paramètres!$D$18))</f>
        <v>69572</v>
      </c>
      <c r="M69" s="57" t="n">
        <f aca="false">MIN(N($E69),Paramètres!$C$7)*Paramètres!$C$6</f>
        <v>12755.215</v>
      </c>
      <c r="N69" s="57" t="n">
        <f aca="false">MIN(M69,I69*Paramètres!$C$8)</f>
        <v>12755.215</v>
      </c>
      <c r="O69" s="57" t="n">
        <f aca="false">I69*IF(K69="Cadre supérieur",Paramètres!$C$10,Paramètres!$C$9)</f>
        <v>32468.2</v>
      </c>
      <c r="P69" s="57" t="n">
        <f aca="false">MAX(0,ROUNDDOWN(N($E69)-L69-N69-O69,-2))</f>
        <v>117100</v>
      </c>
      <c r="Q69" s="57" t="n">
        <f aca="false">SUMPRODUCT((P69&gt;Paramètres!$B$21:$B$27)*(P69-Paramètres!$B$21:$B$27)*Paramètres!$E$21:$E$27)</f>
        <v>12414.7</v>
      </c>
      <c r="R69" s="57" t="n">
        <f aca="false">Q69*INDEX(Paramètres!$C$31:$C$38,MIN(MAX(INT(N(J69)),0),7)+1)</f>
        <v>0</v>
      </c>
      <c r="S69" s="60" t="n">
        <f aca="false">ROUND(Q69-R69,0)</f>
        <v>12415</v>
      </c>
      <c r="T69" s="57" t="n">
        <f aca="false">ROUND(N($E69)*Paramètres!$C$13,0)</f>
        <v>6957</v>
      </c>
      <c r="U69" s="57" t="n">
        <f aca="false">ROUND(MAX(0,N($E69)-(Q69-R69)-M69)*Paramètres!$C$12,0)</f>
        <v>2067</v>
      </c>
      <c r="V69" s="60" t="n">
        <f aca="false">ROUND(N($E69)-M69-S69-U69,0)</f>
        <v>204676</v>
      </c>
    </row>
    <row r="70" customFormat="false" ht="17.25" hidden="false" customHeight="true" outlineLevel="0" collapsed="false">
      <c r="B70" s="53" t="n">
        <v>59</v>
      </c>
      <c r="C70" s="54" t="s">
        <v>9</v>
      </c>
      <c r="D70" s="55" t="n">
        <v>45778</v>
      </c>
      <c r="E70" s="56" t="n">
        <f aca="false">'Juill-aout-sept 2026'!F68</f>
        <v>213566</v>
      </c>
      <c r="F70" s="57" t="n">
        <f aca="false">MIN(ROUNDDOWN(N($E70)*Paramètres!$C$16,0),Paramètres!$D$16)</f>
        <v>42713</v>
      </c>
      <c r="G70" s="57" t="n">
        <f aca="false">MIN(ROUNDDOWN(N($E70)*Paramètres!$C$17,0),Paramètres!$D$17)</f>
        <v>10678</v>
      </c>
      <c r="H70" s="57" t="n">
        <f aca="false">MIN(ROUNDDOWN(N($E70)*Paramètres!$C$18,0),Paramètres!$D$18)</f>
        <v>10678</v>
      </c>
      <c r="I70" s="57" t="n">
        <f aca="false">N($E70)-(F70+G70+H70)</f>
        <v>149497</v>
      </c>
      <c r="J70" s="58" t="n">
        <v>0</v>
      </c>
      <c r="K70" s="59" t="str">
        <f aca="false">IF(I70&lt;Paramètres!$C$11,"Cadre inférieur","Cadre supérieur")</f>
        <v>Cadre inférieur</v>
      </c>
      <c r="L70" s="57" t="n">
        <f aca="false">MIN(F70,MIN(N($E70)*Paramètres!$C$16,Paramètres!$D$16))+MIN(G70,MIN(N($E70)*Paramètres!$C$17,Paramètres!$D$17))+MIN(H70,MIN(N($E70)*Paramètres!$C$18,Paramètres!$D$18))</f>
        <v>64069</v>
      </c>
      <c r="M70" s="57" t="n">
        <f aca="false">MIN(N($E70),Paramètres!$C$7)*Paramètres!$C$6</f>
        <v>11746.13</v>
      </c>
      <c r="N70" s="57" t="n">
        <f aca="false">MIN(M70,I70*Paramètres!$C$8)</f>
        <v>11746.13</v>
      </c>
      <c r="O70" s="57" t="n">
        <f aca="false">I70*IF(K70="Cadre supérieur",Paramètres!$C$10,Paramètres!$C$9)</f>
        <v>37374.25</v>
      </c>
      <c r="P70" s="57" t="n">
        <f aca="false">MAX(0,ROUNDDOWN(N($E70)-L70-N70-O70,-2))</f>
        <v>100300</v>
      </c>
      <c r="Q70" s="57" t="n">
        <f aca="false">SUMPRODUCT((P70&gt;Paramètres!$B$21:$B$27)*(P70-Paramètres!$B$21:$B$27)*Paramètres!$E$21:$E$27)</f>
        <v>9777.1</v>
      </c>
      <c r="R70" s="57" t="n">
        <f aca="false">Q70*INDEX(Paramètres!$C$31:$C$38,MIN(MAX(INT(N(J70)),0),7)+1)</f>
        <v>0</v>
      </c>
      <c r="S70" s="60" t="n">
        <f aca="false">ROUND(Q70-R70,0)</f>
        <v>9777</v>
      </c>
      <c r="T70" s="57" t="n">
        <f aca="false">ROUND(N($E70)*Paramètres!$C$13,0)</f>
        <v>6407</v>
      </c>
      <c r="U70" s="57" t="n">
        <f aca="false">ROUND(MAX(0,N($E70)-(Q70-R70)-M70)*Paramètres!$C$12,0)</f>
        <v>1920</v>
      </c>
      <c r="V70" s="60" t="n">
        <f aca="false">ROUND(N($E70)-M70-S70-U70,0)</f>
        <v>190123</v>
      </c>
    </row>
    <row r="71" customFormat="false" ht="17.25" hidden="false" customHeight="true" outlineLevel="0" collapsed="false">
      <c r="B71" s="53" t="n">
        <v>60</v>
      </c>
      <c r="C71" s="54" t="s">
        <v>74</v>
      </c>
      <c r="D71" s="55" t="n">
        <v>45778</v>
      </c>
      <c r="E71" s="56" t="n">
        <f aca="false">'Juill-aout-sept 2026'!F69</f>
        <v>213566</v>
      </c>
      <c r="F71" s="57" t="n">
        <f aca="false">MIN(ROUNDDOWN(N($E71)*Paramètres!$C$16,0),Paramètres!$D$16)</f>
        <v>42713</v>
      </c>
      <c r="G71" s="57" t="n">
        <f aca="false">MIN(ROUNDDOWN(N($E71)*Paramètres!$C$17,0),Paramètres!$D$17)</f>
        <v>10678</v>
      </c>
      <c r="H71" s="57" t="n">
        <f aca="false">MIN(ROUNDDOWN(N($E71)*Paramètres!$C$18,0),Paramètres!$D$18)</f>
        <v>10678</v>
      </c>
      <c r="I71" s="57" t="n">
        <f aca="false">N($E71)-(F71+G71+H71)</f>
        <v>149497</v>
      </c>
      <c r="J71" s="58" t="n">
        <v>0</v>
      </c>
      <c r="K71" s="59" t="str">
        <f aca="false">IF(I71&lt;Paramètres!$C$11,"Cadre inférieur","Cadre supérieur")</f>
        <v>Cadre inférieur</v>
      </c>
      <c r="L71" s="57" t="n">
        <f aca="false">MIN(F71,MIN(N($E71)*Paramètres!$C$16,Paramètres!$D$16))+MIN(G71,MIN(N($E71)*Paramètres!$C$17,Paramètres!$D$17))+MIN(H71,MIN(N($E71)*Paramètres!$C$18,Paramètres!$D$18))</f>
        <v>64069</v>
      </c>
      <c r="M71" s="57" t="n">
        <f aca="false">MIN(N($E71),Paramètres!$C$7)*Paramètres!$C$6</f>
        <v>11746.13</v>
      </c>
      <c r="N71" s="57" t="n">
        <f aca="false">MIN(M71,I71*Paramètres!$C$8)</f>
        <v>11746.13</v>
      </c>
      <c r="O71" s="57" t="n">
        <f aca="false">I71*IF(K71="Cadre supérieur",Paramètres!$C$10,Paramètres!$C$9)</f>
        <v>37374.25</v>
      </c>
      <c r="P71" s="57" t="n">
        <f aca="false">MAX(0,ROUNDDOWN(N($E71)-L71-N71-O71,-2))</f>
        <v>100300</v>
      </c>
      <c r="Q71" s="57" t="n">
        <f aca="false">SUMPRODUCT((P71&gt;Paramètres!$B$21:$B$27)*(P71-Paramètres!$B$21:$B$27)*Paramètres!$E$21:$E$27)</f>
        <v>9777.1</v>
      </c>
      <c r="R71" s="57" t="n">
        <f aca="false">Q71*INDEX(Paramètres!$C$31:$C$38,MIN(MAX(INT(N(J71)),0),7)+1)</f>
        <v>0</v>
      </c>
      <c r="S71" s="60" t="n">
        <f aca="false">ROUND(Q71-R71,0)</f>
        <v>9777</v>
      </c>
      <c r="T71" s="57" t="n">
        <f aca="false">ROUND(N($E71)*Paramètres!$C$13,0)</f>
        <v>6407</v>
      </c>
      <c r="U71" s="57" t="n">
        <f aca="false">ROUND(MAX(0,N($E71)-(Q71-R71)-M71)*Paramètres!$C$12,0)</f>
        <v>1920</v>
      </c>
      <c r="V71" s="60" t="n">
        <f aca="false">ROUND(N($E71)-M71-S71-U71,0)</f>
        <v>190123</v>
      </c>
    </row>
    <row r="72" customFormat="false" ht="17.25" hidden="false" customHeight="true" outlineLevel="0" collapsed="false">
      <c r="B72" s="53" t="n">
        <v>61</v>
      </c>
      <c r="C72" s="54" t="s">
        <v>75</v>
      </c>
      <c r="D72" s="55" t="n">
        <v>45806</v>
      </c>
      <c r="E72" s="56" t="n">
        <f aca="false">'Juill-aout-sept 2026'!F70</f>
        <v>135983</v>
      </c>
      <c r="F72" s="57" t="n">
        <f aca="false">MIN(ROUNDDOWN(N($E72)*Paramètres!$C$16,0),Paramètres!$D$16)</f>
        <v>27196</v>
      </c>
      <c r="G72" s="57" t="n">
        <f aca="false">MIN(ROUNDDOWN(N($E72)*Paramètres!$C$17,0),Paramètres!$D$17)</f>
        <v>6799</v>
      </c>
      <c r="H72" s="57" t="n">
        <f aca="false">MIN(ROUNDDOWN(N($E72)*Paramètres!$C$18,0),Paramètres!$D$18)</f>
        <v>6799</v>
      </c>
      <c r="I72" s="57" t="n">
        <f aca="false">N($E72)-(F72+G72+H72)</f>
        <v>95189</v>
      </c>
      <c r="J72" s="58" t="n">
        <v>0</v>
      </c>
      <c r="K72" s="59" t="str">
        <f aca="false">IF(I72&lt;Paramètres!$C$11,"Cadre inférieur","Cadre supérieur")</f>
        <v>Cadre inférieur</v>
      </c>
      <c r="L72" s="57" t="n">
        <f aca="false">MIN(F72,MIN(N($E72)*Paramètres!$C$16,Paramètres!$D$16))+MIN(G72,MIN(N($E72)*Paramètres!$C$17,Paramètres!$D$17))+MIN(H72,MIN(N($E72)*Paramètres!$C$18,Paramètres!$D$18))</f>
        <v>40794</v>
      </c>
      <c r="M72" s="57" t="n">
        <f aca="false">MIN(N($E72),Paramètres!$C$7)*Paramètres!$C$6</f>
        <v>7479.065</v>
      </c>
      <c r="N72" s="57" t="n">
        <f aca="false">MIN(M72,I72*Paramètres!$C$8)</f>
        <v>7479.065</v>
      </c>
      <c r="O72" s="57" t="n">
        <f aca="false">I72*IF(K72="Cadre supérieur",Paramètres!$C$10,Paramètres!$C$9)</f>
        <v>23797.25</v>
      </c>
      <c r="P72" s="57" t="n">
        <f aca="false">MAX(0,ROUNDDOWN(N($E72)-L72-N72-O72,-2))</f>
        <v>63900</v>
      </c>
      <c r="Q72" s="57" t="n">
        <f aca="false">SUMPRODUCT((P72&gt;Paramètres!$B$21:$B$27)*(P72-Paramètres!$B$21:$B$27)*Paramètres!$E$21:$E$27)</f>
        <v>4352.1</v>
      </c>
      <c r="R72" s="57" t="n">
        <f aca="false">Q72*INDEX(Paramètres!$C$31:$C$38,MIN(MAX(INT(N(J72)),0),7)+1)</f>
        <v>0</v>
      </c>
      <c r="S72" s="60" t="n">
        <f aca="false">ROUND(Q72-R72,0)</f>
        <v>4352</v>
      </c>
      <c r="T72" s="57" t="n">
        <f aca="false">ROUND(N($E72)*Paramètres!$C$13,0)</f>
        <v>4079</v>
      </c>
      <c r="U72" s="57" t="n">
        <f aca="false">ROUND(MAX(0,N($E72)-(Q72-R72)-M72)*Paramètres!$C$12,0)</f>
        <v>1242</v>
      </c>
      <c r="V72" s="60" t="n">
        <f aca="false">ROUND(N($E72)-M72-S72-U72,0)</f>
        <v>122910</v>
      </c>
    </row>
    <row r="73" customFormat="false" ht="17.25" hidden="false" customHeight="true" outlineLevel="0" collapsed="false">
      <c r="B73" s="53" t="n">
        <v>62</v>
      </c>
      <c r="C73" s="54" t="s">
        <v>76</v>
      </c>
      <c r="D73" s="55" t="n">
        <v>46174</v>
      </c>
      <c r="E73" s="56" t="n">
        <f aca="false">'Juill-aout-sept 2026'!F71</f>
        <v>213563</v>
      </c>
      <c r="F73" s="57" t="n">
        <f aca="false">MIN(ROUNDDOWN(N($E73)*Paramètres!$C$16,0),Paramètres!$D$16)</f>
        <v>42712</v>
      </c>
      <c r="G73" s="57" t="n">
        <f aca="false">MIN(ROUNDDOWN(N($E73)*Paramètres!$C$17,0),Paramètres!$D$17)</f>
        <v>10678</v>
      </c>
      <c r="H73" s="57" t="n">
        <f aca="false">MIN(ROUNDDOWN(N($E73)*Paramètres!$C$18,0),Paramètres!$D$18)</f>
        <v>10678</v>
      </c>
      <c r="I73" s="57" t="n">
        <f aca="false">N($E73)-(F73+G73+H73)</f>
        <v>149495</v>
      </c>
      <c r="J73" s="58" t="n">
        <v>0</v>
      </c>
      <c r="K73" s="59" t="str">
        <f aca="false">IF(I73&lt;Paramètres!$C$11,"Cadre inférieur","Cadre supérieur")</f>
        <v>Cadre inférieur</v>
      </c>
      <c r="L73" s="57" t="n">
        <f aca="false">MIN(F73,MIN(N($E73)*Paramètres!$C$16,Paramètres!$D$16))+MIN(G73,MIN(N($E73)*Paramètres!$C$17,Paramètres!$D$17))+MIN(H73,MIN(N($E73)*Paramètres!$C$18,Paramètres!$D$18))</f>
        <v>64068</v>
      </c>
      <c r="M73" s="57" t="n">
        <f aca="false">MIN(N($E73),Paramètres!$C$7)*Paramètres!$C$6</f>
        <v>11745.965</v>
      </c>
      <c r="N73" s="57" t="n">
        <f aca="false">MIN(M73,I73*Paramètres!$C$8)</f>
        <v>11745.965</v>
      </c>
      <c r="O73" s="57" t="n">
        <f aca="false">I73*IF(K73="Cadre supérieur",Paramètres!$C$10,Paramètres!$C$9)</f>
        <v>37373.75</v>
      </c>
      <c r="P73" s="57" t="n">
        <f aca="false">MAX(0,ROUNDDOWN(N($E73)-L73-N73-O73,-2))</f>
        <v>100300</v>
      </c>
      <c r="Q73" s="57" t="n">
        <f aca="false">SUMPRODUCT((P73&gt;Paramètres!$B$21:$B$27)*(P73-Paramètres!$B$21:$B$27)*Paramètres!$E$21:$E$27)</f>
        <v>9777.1</v>
      </c>
      <c r="R73" s="57" t="n">
        <f aca="false">Q73*INDEX(Paramètres!$C$31:$C$38,MIN(MAX(INT(N(J73)),0),7)+1)</f>
        <v>0</v>
      </c>
      <c r="S73" s="60" t="n">
        <f aca="false">ROUND(Q73-R73,0)</f>
        <v>9777</v>
      </c>
      <c r="T73" s="57" t="n">
        <f aca="false">ROUND(N($E73)*Paramètres!$C$13,0)</f>
        <v>6407</v>
      </c>
      <c r="U73" s="57" t="n">
        <f aca="false">ROUND(MAX(0,N($E73)-(Q73-R73)-M73)*Paramètres!$C$12,0)</f>
        <v>1920</v>
      </c>
      <c r="V73" s="60" t="n">
        <f aca="false">ROUND(N($E73)-M73-S73-U73,0)</f>
        <v>190120</v>
      </c>
    </row>
    <row r="74" customFormat="false" ht="17.25" hidden="false" customHeight="true" outlineLevel="0" collapsed="false">
      <c r="B74" s="53" t="n">
        <v>63</v>
      </c>
      <c r="C74" s="54" t="s">
        <v>77</v>
      </c>
      <c r="D74" s="55" t="n">
        <v>45930</v>
      </c>
      <c r="E74" s="56" t="n">
        <f aca="false">'Juill-aout-sept 2026'!F72</f>
        <v>165340</v>
      </c>
      <c r="F74" s="57" t="n">
        <f aca="false">MIN(ROUNDDOWN(N($E74)*Paramètres!$C$16,0),Paramètres!$D$16)</f>
        <v>33068</v>
      </c>
      <c r="G74" s="57" t="n">
        <f aca="false">MIN(ROUNDDOWN(N($E74)*Paramètres!$C$17,0),Paramètres!$D$17)</f>
        <v>8267</v>
      </c>
      <c r="H74" s="57" t="n">
        <f aca="false">MIN(ROUNDDOWN(N($E74)*Paramètres!$C$18,0),Paramètres!$D$18)</f>
        <v>8267</v>
      </c>
      <c r="I74" s="57" t="n">
        <f aca="false">N($E74)-(F74+G74+H74)</f>
        <v>115738</v>
      </c>
      <c r="J74" s="58" t="n">
        <v>0</v>
      </c>
      <c r="K74" s="59" t="str">
        <f aca="false">IF(I74&lt;Paramètres!$C$11,"Cadre inférieur","Cadre supérieur")</f>
        <v>Cadre inférieur</v>
      </c>
      <c r="L74" s="57" t="n">
        <f aca="false">MIN(F74,MIN(N($E74)*Paramètres!$C$16,Paramètres!$D$16))+MIN(G74,MIN(N($E74)*Paramètres!$C$17,Paramètres!$D$17))+MIN(H74,MIN(N($E74)*Paramètres!$C$18,Paramètres!$D$18))</f>
        <v>49602</v>
      </c>
      <c r="M74" s="57" t="n">
        <f aca="false">MIN(N($E74),Paramètres!$C$7)*Paramètres!$C$6</f>
        <v>9093.7</v>
      </c>
      <c r="N74" s="57" t="n">
        <f aca="false">MIN(M74,I74*Paramètres!$C$8)</f>
        <v>9093.7</v>
      </c>
      <c r="O74" s="57" t="n">
        <f aca="false">I74*IF(K74="Cadre supérieur",Paramètres!$C$10,Paramètres!$C$9)</f>
        <v>28934.5</v>
      </c>
      <c r="P74" s="57" t="n">
        <f aca="false">MAX(0,ROUNDDOWN(N($E74)-L74-N74-O74,-2))</f>
        <v>77700</v>
      </c>
      <c r="Q74" s="57" t="n">
        <f aca="false">SUMPRODUCT((P74&gt;Paramètres!$B$21:$B$27)*(P74-Paramètres!$B$21:$B$27)*Paramètres!$E$21:$E$27)</f>
        <v>6270.3</v>
      </c>
      <c r="R74" s="57" t="n">
        <f aca="false">Q74*INDEX(Paramètres!$C$31:$C$38,MIN(MAX(INT(N(J74)),0),7)+1)</f>
        <v>0</v>
      </c>
      <c r="S74" s="60" t="n">
        <f aca="false">ROUND(Q74-R74,0)</f>
        <v>6270</v>
      </c>
      <c r="T74" s="57" t="n">
        <f aca="false">ROUND(N($E74)*Paramètres!$C$13,0)</f>
        <v>4960</v>
      </c>
      <c r="U74" s="57" t="n">
        <f aca="false">ROUND(MAX(0,N($E74)-(Q74-R74)-M74)*Paramètres!$C$12,0)</f>
        <v>1500</v>
      </c>
      <c r="V74" s="60" t="n">
        <f aca="false">ROUND(N($E74)-M74-S74-U74,0)</f>
        <v>148476</v>
      </c>
    </row>
    <row r="75" customFormat="false" ht="17.25" hidden="false" customHeight="true" outlineLevel="0" collapsed="false">
      <c r="B75" s="53" t="n">
        <v>64</v>
      </c>
      <c r="C75" s="54" t="s">
        <v>8</v>
      </c>
      <c r="D75" s="55" t="n">
        <v>45912</v>
      </c>
      <c r="E75" s="56" t="n">
        <f aca="false">'Juill-aout-sept 2026'!F73</f>
        <v>213566</v>
      </c>
      <c r="F75" s="57" t="n">
        <f aca="false">MIN(ROUNDDOWN(N($E75)*Paramètres!$C$16,0),Paramètres!$D$16)</f>
        <v>42713</v>
      </c>
      <c r="G75" s="57" t="n">
        <f aca="false">MIN(ROUNDDOWN(N($E75)*Paramètres!$C$17,0),Paramètres!$D$17)</f>
        <v>10678</v>
      </c>
      <c r="H75" s="57" t="n">
        <f aca="false">MIN(ROUNDDOWN(N($E75)*Paramètres!$C$18,0),Paramètres!$D$18)</f>
        <v>10678</v>
      </c>
      <c r="I75" s="57" t="n">
        <f aca="false">N($E75)-(F75+G75+H75)</f>
        <v>149497</v>
      </c>
      <c r="J75" s="58" t="n">
        <v>0</v>
      </c>
      <c r="K75" s="59" t="str">
        <f aca="false">IF(I75&lt;Paramètres!$C$11,"Cadre inférieur","Cadre supérieur")</f>
        <v>Cadre inférieur</v>
      </c>
      <c r="L75" s="57" t="n">
        <f aca="false">MIN(F75,MIN(N($E75)*Paramètres!$C$16,Paramètres!$D$16))+MIN(G75,MIN(N($E75)*Paramètres!$C$17,Paramètres!$D$17))+MIN(H75,MIN(N($E75)*Paramètres!$C$18,Paramètres!$D$18))</f>
        <v>64069</v>
      </c>
      <c r="M75" s="57" t="n">
        <f aca="false">MIN(N($E75),Paramètres!$C$7)*Paramètres!$C$6</f>
        <v>11746.13</v>
      </c>
      <c r="N75" s="57" t="n">
        <f aca="false">MIN(M75,I75*Paramètres!$C$8)</f>
        <v>11746.13</v>
      </c>
      <c r="O75" s="57" t="n">
        <f aca="false">I75*IF(K75="Cadre supérieur",Paramètres!$C$10,Paramètres!$C$9)</f>
        <v>37374.25</v>
      </c>
      <c r="P75" s="57" t="n">
        <f aca="false">MAX(0,ROUNDDOWN(N($E75)-L75-N75-O75,-2))</f>
        <v>100300</v>
      </c>
      <c r="Q75" s="57" t="n">
        <f aca="false">SUMPRODUCT((P75&gt;Paramètres!$B$21:$B$27)*(P75-Paramètres!$B$21:$B$27)*Paramètres!$E$21:$E$27)</f>
        <v>9777.1</v>
      </c>
      <c r="R75" s="57" t="n">
        <f aca="false">Q75*INDEX(Paramètres!$C$31:$C$38,MIN(MAX(INT(N(J75)),0),7)+1)</f>
        <v>0</v>
      </c>
      <c r="S75" s="60" t="n">
        <f aca="false">ROUND(Q75-R75,0)</f>
        <v>9777</v>
      </c>
      <c r="T75" s="57" t="n">
        <f aca="false">ROUND(N($E75)*Paramètres!$C$13,0)</f>
        <v>6407</v>
      </c>
      <c r="U75" s="57" t="n">
        <f aca="false">ROUND(MAX(0,N($E75)-(Q75-R75)-M75)*Paramètres!$C$12,0)</f>
        <v>1920</v>
      </c>
      <c r="V75" s="60" t="n">
        <f aca="false">ROUND(N($E75)-M75-S75-U75,0)</f>
        <v>190123</v>
      </c>
    </row>
    <row r="76" customFormat="false" ht="17.25" hidden="false" customHeight="true" outlineLevel="0" collapsed="false">
      <c r="B76" s="53" t="n">
        <v>65</v>
      </c>
      <c r="C76" s="54" t="s">
        <v>78</v>
      </c>
      <c r="D76" s="55" t="n">
        <v>46183</v>
      </c>
      <c r="E76" s="56" t="n">
        <f aca="false">'Juill-aout-sept 2026'!F74</f>
        <v>177387</v>
      </c>
      <c r="F76" s="57" t="n">
        <f aca="false">MIN(ROUNDDOWN(N($E76)*Paramètres!$C$16,0),Paramètres!$D$16)</f>
        <v>35477</v>
      </c>
      <c r="G76" s="57" t="n">
        <f aca="false">MIN(ROUNDDOWN(N($E76)*Paramètres!$C$17,0),Paramètres!$D$17)</f>
        <v>8869</v>
      </c>
      <c r="H76" s="57" t="n">
        <f aca="false">MIN(ROUNDDOWN(N($E76)*Paramètres!$C$18,0),Paramètres!$D$18)</f>
        <v>8869</v>
      </c>
      <c r="I76" s="57" t="n">
        <f aca="false">N($E76)-(F76+G76+H76)</f>
        <v>124172</v>
      </c>
      <c r="J76" s="58" t="n">
        <v>0</v>
      </c>
      <c r="K76" s="59" t="str">
        <f aca="false">IF(I76&lt;Paramètres!$C$11,"Cadre inférieur","Cadre supérieur")</f>
        <v>Cadre inférieur</v>
      </c>
      <c r="L76" s="57" t="n">
        <f aca="false">MIN(F76,MIN(N($E76)*Paramètres!$C$16,Paramètres!$D$16))+MIN(G76,MIN(N($E76)*Paramètres!$C$17,Paramètres!$D$17))+MIN(H76,MIN(N($E76)*Paramètres!$C$18,Paramètres!$D$18))</f>
        <v>53215</v>
      </c>
      <c r="M76" s="57" t="n">
        <f aca="false">MIN(N($E76),Paramètres!$C$7)*Paramètres!$C$6</f>
        <v>9756.285</v>
      </c>
      <c r="N76" s="57" t="n">
        <f aca="false">MIN(M76,I76*Paramètres!$C$8)</f>
        <v>9756.285</v>
      </c>
      <c r="O76" s="57" t="n">
        <f aca="false">I76*IF(K76="Cadre supérieur",Paramètres!$C$10,Paramètres!$C$9)</f>
        <v>31043</v>
      </c>
      <c r="P76" s="57" t="n">
        <f aca="false">MAX(0,ROUNDDOWN(N($E76)-L76-N76-O76,-2))</f>
        <v>83300</v>
      </c>
      <c r="Q76" s="57" t="n">
        <f aca="false">SUMPRODUCT((P76&gt;Paramètres!$B$21:$B$27)*(P76-Paramètres!$B$21:$B$27)*Paramètres!$E$21:$E$27)</f>
        <v>7108.1</v>
      </c>
      <c r="R76" s="57" t="n">
        <f aca="false">Q76*INDEX(Paramètres!$C$31:$C$38,MIN(MAX(INT(N(J76)),0),7)+1)</f>
        <v>0</v>
      </c>
      <c r="S76" s="60" t="n">
        <f aca="false">ROUND(Q76-R76,0)</f>
        <v>7108</v>
      </c>
      <c r="T76" s="57" t="n">
        <f aca="false">ROUND(N($E76)*Paramètres!$C$13,0)</f>
        <v>5322</v>
      </c>
      <c r="U76" s="57" t="n">
        <f aca="false">ROUND(MAX(0,N($E76)-(Q76-R76)-M76)*Paramètres!$C$12,0)</f>
        <v>1605</v>
      </c>
      <c r="V76" s="60" t="n">
        <f aca="false">ROUND(N($E76)-M76-S76-U76,0)</f>
        <v>158918</v>
      </c>
    </row>
    <row r="77" customFormat="false" ht="17.25" hidden="false" customHeight="true" outlineLevel="0" collapsed="false">
      <c r="B77" s="53" t="n">
        <v>66</v>
      </c>
      <c r="C77" s="54" t="s">
        <v>79</v>
      </c>
      <c r="D77" s="55" t="n">
        <v>46023</v>
      </c>
      <c r="E77" s="56" t="n">
        <f aca="false">'Juill-aout-sept 2026'!F75</f>
        <v>135983</v>
      </c>
      <c r="F77" s="57" t="n">
        <f aca="false">MIN(ROUNDDOWN(N($E77)*Paramètres!$C$16,0),Paramètres!$D$16)</f>
        <v>27196</v>
      </c>
      <c r="G77" s="57" t="n">
        <f aca="false">MIN(ROUNDDOWN(N($E77)*Paramètres!$C$17,0),Paramètres!$D$17)</f>
        <v>6799</v>
      </c>
      <c r="H77" s="57" t="n">
        <f aca="false">MIN(ROUNDDOWN(N($E77)*Paramètres!$C$18,0),Paramètres!$D$18)</f>
        <v>6799</v>
      </c>
      <c r="I77" s="57" t="n">
        <f aca="false">N($E77)-(F77+G77+H77)</f>
        <v>95189</v>
      </c>
      <c r="J77" s="58" t="n">
        <v>0</v>
      </c>
      <c r="K77" s="59" t="str">
        <f aca="false">IF(I77&lt;Paramètres!$C$11,"Cadre inférieur","Cadre supérieur")</f>
        <v>Cadre inférieur</v>
      </c>
      <c r="L77" s="57" t="n">
        <f aca="false">MIN(F77,MIN(N($E77)*Paramètres!$C$16,Paramètres!$D$16))+MIN(G77,MIN(N($E77)*Paramètres!$C$17,Paramètres!$D$17))+MIN(H77,MIN(N($E77)*Paramètres!$C$18,Paramètres!$D$18))</f>
        <v>40794</v>
      </c>
      <c r="M77" s="57" t="n">
        <f aca="false">MIN(N($E77),Paramètres!$C$7)*Paramètres!$C$6</f>
        <v>7479.065</v>
      </c>
      <c r="N77" s="57" t="n">
        <f aca="false">MIN(M77,I77*Paramètres!$C$8)</f>
        <v>7479.065</v>
      </c>
      <c r="O77" s="57" t="n">
        <f aca="false">I77*IF(K77="Cadre supérieur",Paramètres!$C$10,Paramètres!$C$9)</f>
        <v>23797.25</v>
      </c>
      <c r="P77" s="57" t="n">
        <f aca="false">MAX(0,ROUNDDOWN(N($E77)-L77-N77-O77,-2))</f>
        <v>63900</v>
      </c>
      <c r="Q77" s="57" t="n">
        <f aca="false">SUMPRODUCT((P77&gt;Paramètres!$B$21:$B$27)*(P77-Paramètres!$B$21:$B$27)*Paramètres!$E$21:$E$27)</f>
        <v>4352.1</v>
      </c>
      <c r="R77" s="57" t="n">
        <f aca="false">Q77*INDEX(Paramètres!$C$31:$C$38,MIN(MAX(INT(N(J77)),0),7)+1)</f>
        <v>0</v>
      </c>
      <c r="S77" s="60" t="n">
        <f aca="false">ROUND(Q77-R77,0)</f>
        <v>4352</v>
      </c>
      <c r="T77" s="57" t="n">
        <f aca="false">ROUND(N($E77)*Paramètres!$C$13,0)</f>
        <v>4079</v>
      </c>
      <c r="U77" s="57" t="n">
        <f aca="false">ROUND(MAX(0,N($E77)-(Q77-R77)-M77)*Paramètres!$C$12,0)</f>
        <v>1242</v>
      </c>
      <c r="V77" s="60" t="n">
        <f aca="false">ROUND(N($E77)-M77-S77-U77,0)</f>
        <v>122910</v>
      </c>
    </row>
    <row r="78" customFormat="false" ht="17.25" hidden="false" customHeight="true" outlineLevel="0" collapsed="false">
      <c r="B78" s="53" t="n">
        <v>67</v>
      </c>
      <c r="C78" s="54" t="s">
        <v>80</v>
      </c>
      <c r="D78" s="55" t="n">
        <v>46204</v>
      </c>
      <c r="E78" s="56" t="n">
        <f aca="false">'Juill-aout-sept 2026'!F76</f>
        <v>135983</v>
      </c>
      <c r="F78" s="57" t="n">
        <f aca="false">MIN(ROUNDDOWN(N($E78)*Paramètres!$C$16,0),Paramètres!$D$16)</f>
        <v>27196</v>
      </c>
      <c r="G78" s="57" t="n">
        <f aca="false">MIN(ROUNDDOWN(N($E78)*Paramètres!$C$17,0),Paramètres!$D$17)</f>
        <v>6799</v>
      </c>
      <c r="H78" s="57" t="n">
        <f aca="false">MIN(ROUNDDOWN(N($E78)*Paramètres!$C$18,0),Paramètres!$D$18)</f>
        <v>6799</v>
      </c>
      <c r="I78" s="57" t="n">
        <f aca="false">N($E78)-(F78+G78+H78)</f>
        <v>95189</v>
      </c>
      <c r="J78" s="58" t="n">
        <v>0</v>
      </c>
      <c r="K78" s="59" t="str">
        <f aca="false">IF(I78&lt;Paramètres!$C$11,"Cadre inférieur","Cadre supérieur")</f>
        <v>Cadre inférieur</v>
      </c>
      <c r="L78" s="57" t="n">
        <f aca="false">MIN(F78,MIN(N($E78)*Paramètres!$C$16,Paramètres!$D$16))+MIN(G78,MIN(N($E78)*Paramètres!$C$17,Paramètres!$D$17))+MIN(H78,MIN(N($E78)*Paramètres!$C$18,Paramètres!$D$18))</f>
        <v>40794</v>
      </c>
      <c r="M78" s="57" t="n">
        <f aca="false">MIN(N($E78),Paramètres!$C$7)*Paramètres!$C$6</f>
        <v>7479.065</v>
      </c>
      <c r="N78" s="57" t="n">
        <f aca="false">MIN(M78,I78*Paramètres!$C$8)</f>
        <v>7479.065</v>
      </c>
      <c r="O78" s="57" t="n">
        <f aca="false">I78*IF(K78="Cadre supérieur",Paramètres!$C$10,Paramètres!$C$9)</f>
        <v>23797.25</v>
      </c>
      <c r="P78" s="57" t="n">
        <f aca="false">MAX(0,ROUNDDOWN(N($E78)-L78-N78-O78,-2))</f>
        <v>63900</v>
      </c>
      <c r="Q78" s="57" t="n">
        <f aca="false">SUMPRODUCT((P78&gt;Paramètres!$B$21:$B$27)*(P78-Paramètres!$B$21:$B$27)*Paramètres!$E$21:$E$27)</f>
        <v>4352.1</v>
      </c>
      <c r="R78" s="57" t="n">
        <f aca="false">Q78*INDEX(Paramètres!$C$31:$C$38,MIN(MAX(INT(N(J78)),0),7)+1)</f>
        <v>0</v>
      </c>
      <c r="S78" s="60" t="n">
        <f aca="false">ROUND(Q78-R78,0)</f>
        <v>4352</v>
      </c>
      <c r="T78" s="57" t="n">
        <f aca="false">ROUND(N($E78)*Paramètres!$C$13,0)</f>
        <v>4079</v>
      </c>
      <c r="U78" s="57" t="n">
        <f aca="false">ROUND(MAX(0,N($E78)-(Q78-R78)-M78)*Paramètres!$C$12,0)</f>
        <v>1242</v>
      </c>
      <c r="V78" s="60" t="n">
        <f aca="false">ROUND(N($E78)-M78-S78-U78,0)</f>
        <v>122910</v>
      </c>
    </row>
    <row r="79" customFormat="false" ht="17.25" hidden="false" customHeight="true" outlineLevel="0" collapsed="false">
      <c r="B79" s="53" t="n">
        <v>68</v>
      </c>
      <c r="C79" s="54" t="s">
        <v>81</v>
      </c>
      <c r="D79" s="55" t="n">
        <v>45778</v>
      </c>
      <c r="E79" s="56" t="n">
        <f aca="false">'Juill-aout-sept 2026'!F77</f>
        <v>471355</v>
      </c>
      <c r="F79" s="57" t="n">
        <f aca="false">MIN(ROUNDDOWN(N($E79)*Paramètres!$C$16,0),Paramètres!$D$16)</f>
        <v>75000</v>
      </c>
      <c r="G79" s="57" t="n">
        <f aca="false">MIN(ROUNDDOWN(N($E79)*Paramètres!$C$17,0),Paramètres!$D$17)</f>
        <v>23567</v>
      </c>
      <c r="H79" s="57" t="n">
        <f aca="false">MIN(ROUNDDOWN(N($E79)*Paramètres!$C$18,0),Paramètres!$D$18)</f>
        <v>23567</v>
      </c>
      <c r="I79" s="57" t="n">
        <f aca="false">N($E79)-(F79+G79+H79)</f>
        <v>349221</v>
      </c>
      <c r="J79" s="58" t="n">
        <v>0</v>
      </c>
      <c r="K79" s="59" t="str">
        <f aca="false">IF(I79&lt;Paramètres!$C$11,"Cadre inférieur","Cadre supérieur")</f>
        <v>Cadre supérieur</v>
      </c>
      <c r="L79" s="57" t="n">
        <f aca="false">MIN(F79,MIN(N($E79)*Paramètres!$C$16,Paramètres!$D$16))+MIN(G79,MIN(N($E79)*Paramètres!$C$17,Paramètres!$D$17))+MIN(H79,MIN(N($E79)*Paramètres!$C$18,Paramètres!$D$18))</f>
        <v>122134</v>
      </c>
      <c r="M79" s="57" t="n">
        <f aca="false">MIN(N($E79),Paramètres!$C$7)*Paramètres!$C$6</f>
        <v>25924.525</v>
      </c>
      <c r="N79" s="57" t="n">
        <f aca="false">MIN(M79,I79*Paramètres!$C$8)</f>
        <v>25924.525</v>
      </c>
      <c r="O79" s="57" t="n">
        <f aca="false">I79*IF(K79="Cadre supérieur",Paramètres!$C$10,Paramètres!$C$9)</f>
        <v>69844.2</v>
      </c>
      <c r="P79" s="57" t="n">
        <f aca="false">MAX(0,ROUNDDOWN(N($E79)-L79-N79-O79,-2))</f>
        <v>253400</v>
      </c>
      <c r="Q79" s="57" t="n">
        <f aca="false">SUMPRODUCT((P79&gt;Paramètres!$B$21:$B$27)*(P79-Paramètres!$B$21:$B$27)*Paramètres!$E$21:$E$27)</f>
        <v>40280</v>
      </c>
      <c r="R79" s="57" t="n">
        <f aca="false">Q79*INDEX(Paramètres!$C$31:$C$38,MIN(MAX(INT(N(J79)),0),7)+1)</f>
        <v>0</v>
      </c>
      <c r="S79" s="60" t="n">
        <f aca="false">ROUND(Q79-R79,0)</f>
        <v>40280</v>
      </c>
      <c r="T79" s="57" t="n">
        <f aca="false">ROUND(N($E79)*Paramètres!$C$13,0)</f>
        <v>14141</v>
      </c>
      <c r="U79" s="57" t="n">
        <f aca="false">ROUND(MAX(0,N($E79)-(Q79-R79)-M79)*Paramètres!$C$12,0)</f>
        <v>4052</v>
      </c>
      <c r="V79" s="60" t="n">
        <f aca="false">ROUND(N($E79)-M79-S79-U79,0)</f>
        <v>401098</v>
      </c>
    </row>
    <row r="80" customFormat="false" ht="17.25" hidden="false" customHeight="true" outlineLevel="0" collapsed="false">
      <c r="B80" s="53" t="n">
        <v>69</v>
      </c>
      <c r="C80" s="54" t="s">
        <v>82</v>
      </c>
      <c r="D80" s="55" t="n">
        <v>46289</v>
      </c>
      <c r="E80" s="56" t="n">
        <f aca="false">'Juill-aout-sept 2026'!F78</f>
        <v>0</v>
      </c>
      <c r="F80" s="57" t="n">
        <f aca="false">MIN(ROUNDDOWN(N($E80)*Paramètres!$C$16,0),Paramètres!$D$16)</f>
        <v>0</v>
      </c>
      <c r="G80" s="57" t="n">
        <f aca="false">MIN(ROUNDDOWN(N($E80)*Paramètres!$C$17,0),Paramètres!$D$17)</f>
        <v>0</v>
      </c>
      <c r="H80" s="57" t="n">
        <f aca="false">MIN(ROUNDDOWN(N($E80)*Paramètres!$C$18,0),Paramètres!$D$18)</f>
        <v>0</v>
      </c>
      <c r="I80" s="57" t="n">
        <f aca="false">N($E80)-(F80+G80+H80)</f>
        <v>0</v>
      </c>
      <c r="J80" s="58" t="n">
        <v>0</v>
      </c>
      <c r="K80" s="59" t="str">
        <f aca="false">IF(I80&lt;Paramètres!$C$11,"Cadre inférieur","Cadre supérieur")</f>
        <v>Cadre inférieur</v>
      </c>
      <c r="L80" s="57" t="n">
        <f aca="false">MIN(F80,MIN(N($E80)*Paramètres!$C$16,Paramètres!$D$16))+MIN(G80,MIN(N($E80)*Paramètres!$C$17,Paramètres!$D$17))+MIN(H80,MIN(N($E80)*Paramètres!$C$18,Paramètres!$D$18))</f>
        <v>0</v>
      </c>
      <c r="M80" s="57" t="n">
        <f aca="false">MIN(N($E80),Paramètres!$C$7)*Paramètres!$C$6</f>
        <v>0</v>
      </c>
      <c r="N80" s="57" t="n">
        <f aca="false">MIN(M80,I80*Paramètres!$C$8)</f>
        <v>0</v>
      </c>
      <c r="O80" s="57" t="n">
        <f aca="false">I80*IF(K80="Cadre supérieur",Paramètres!$C$10,Paramètres!$C$9)</f>
        <v>0</v>
      </c>
      <c r="P80" s="57" t="n">
        <f aca="false">MAX(0,ROUNDDOWN(N($E80)-L80-N80-O80,-2))</f>
        <v>0</v>
      </c>
      <c r="Q80" s="57" t="n">
        <f aca="false">SUMPRODUCT((P80&gt;Paramètres!$B$21:$B$27)*(P80-Paramètres!$B$21:$B$27)*Paramètres!$E$21:$E$27)</f>
        <v>0</v>
      </c>
      <c r="R80" s="57" t="n">
        <f aca="false">Q80*INDEX(Paramètres!$C$31:$C$38,MIN(MAX(INT(N(J80)),0),7)+1)</f>
        <v>0</v>
      </c>
      <c r="S80" s="60" t="n">
        <f aca="false">ROUND(Q80-R80,0)</f>
        <v>0</v>
      </c>
      <c r="T80" s="57" t="n">
        <f aca="false">ROUND(N($E80)*Paramètres!$C$13,0)</f>
        <v>0</v>
      </c>
      <c r="U80" s="57" t="n">
        <f aca="false">ROUND(MAX(0,N($E80)-(Q80-R80)-M80)*Paramètres!$C$12,0)</f>
        <v>0</v>
      </c>
      <c r="V80" s="60" t="n">
        <f aca="false">ROUND(N($E80)-M80-S80-U80,0)</f>
        <v>0</v>
      </c>
    </row>
    <row r="81" customFormat="false" ht="17.25" hidden="false" customHeight="true" outlineLevel="0" collapsed="false">
      <c r="B81" s="53" t="n">
        <v>70</v>
      </c>
      <c r="C81" s="54" t="s">
        <v>83</v>
      </c>
      <c r="D81" s="55" t="n">
        <v>46023</v>
      </c>
      <c r="E81" s="56" t="n">
        <f aca="false">'Juill-aout-sept 2026'!F79</f>
        <v>213566</v>
      </c>
      <c r="F81" s="57" t="n">
        <f aca="false">MIN(ROUNDDOWN(N($E81)*Paramètres!$C$16,0),Paramètres!$D$16)</f>
        <v>42713</v>
      </c>
      <c r="G81" s="57" t="n">
        <f aca="false">MIN(ROUNDDOWN(N($E81)*Paramètres!$C$17,0),Paramètres!$D$17)</f>
        <v>10678</v>
      </c>
      <c r="H81" s="57" t="n">
        <f aca="false">MIN(ROUNDDOWN(N($E81)*Paramètres!$C$18,0),Paramètres!$D$18)</f>
        <v>10678</v>
      </c>
      <c r="I81" s="57" t="n">
        <f aca="false">N($E81)-(F81+G81+H81)</f>
        <v>149497</v>
      </c>
      <c r="J81" s="58" t="n">
        <v>0</v>
      </c>
      <c r="K81" s="59" t="str">
        <f aca="false">IF(I81&lt;Paramètres!$C$11,"Cadre inférieur","Cadre supérieur")</f>
        <v>Cadre inférieur</v>
      </c>
      <c r="L81" s="57" t="n">
        <f aca="false">MIN(F81,MIN(N($E81)*Paramètres!$C$16,Paramètres!$D$16))+MIN(G81,MIN(N($E81)*Paramètres!$C$17,Paramètres!$D$17))+MIN(H81,MIN(N($E81)*Paramètres!$C$18,Paramètres!$D$18))</f>
        <v>64069</v>
      </c>
      <c r="M81" s="57" t="n">
        <f aca="false">MIN(N($E81),Paramètres!$C$7)*Paramètres!$C$6</f>
        <v>11746.13</v>
      </c>
      <c r="N81" s="57" t="n">
        <f aca="false">MIN(M81,I81*Paramètres!$C$8)</f>
        <v>11746.13</v>
      </c>
      <c r="O81" s="57" t="n">
        <f aca="false">I81*IF(K81="Cadre supérieur",Paramètres!$C$10,Paramètres!$C$9)</f>
        <v>37374.25</v>
      </c>
      <c r="P81" s="57" t="n">
        <f aca="false">MAX(0,ROUNDDOWN(N($E81)-L81-N81-O81,-2))</f>
        <v>100300</v>
      </c>
      <c r="Q81" s="57" t="n">
        <f aca="false">SUMPRODUCT((P81&gt;Paramètres!$B$21:$B$27)*(P81-Paramètres!$B$21:$B$27)*Paramètres!$E$21:$E$27)</f>
        <v>9777.1</v>
      </c>
      <c r="R81" s="57" t="n">
        <f aca="false">Q81*INDEX(Paramètres!$C$31:$C$38,MIN(MAX(INT(N(J81)),0),7)+1)</f>
        <v>0</v>
      </c>
      <c r="S81" s="60" t="n">
        <f aca="false">ROUND(Q81-R81,0)</f>
        <v>9777</v>
      </c>
      <c r="T81" s="57" t="n">
        <f aca="false">ROUND(N($E81)*Paramètres!$C$13,0)</f>
        <v>6407</v>
      </c>
      <c r="U81" s="57" t="n">
        <f aca="false">ROUND(MAX(0,N($E81)-(Q81-R81)-M81)*Paramètres!$C$12,0)</f>
        <v>1920</v>
      </c>
      <c r="V81" s="60" t="n">
        <f aca="false">ROUND(N($E81)-M81-S81-U81,0)</f>
        <v>190123</v>
      </c>
    </row>
    <row r="82" customFormat="false" ht="17.25" hidden="false" customHeight="true" outlineLevel="0" collapsed="false">
      <c r="B82" s="53" t="n">
        <v>71</v>
      </c>
      <c r="C82" s="54" t="s">
        <v>84</v>
      </c>
      <c r="D82" s="55" t="n">
        <v>46235</v>
      </c>
      <c r="E82" s="56" t="n">
        <f aca="false">'Juill-aout-sept 2026'!F80</f>
        <v>177387</v>
      </c>
      <c r="F82" s="57" t="n">
        <f aca="false">MIN(ROUNDDOWN(N($E82)*Paramètres!$C$16,0),Paramètres!$D$16)</f>
        <v>35477</v>
      </c>
      <c r="G82" s="57" t="n">
        <f aca="false">MIN(ROUNDDOWN(N($E82)*Paramètres!$C$17,0),Paramètres!$D$17)</f>
        <v>8869</v>
      </c>
      <c r="H82" s="57" t="n">
        <f aca="false">MIN(ROUNDDOWN(N($E82)*Paramètres!$C$18,0),Paramètres!$D$18)</f>
        <v>8869</v>
      </c>
      <c r="I82" s="57" t="n">
        <f aca="false">N($E82)-(F82+G82+H82)</f>
        <v>124172</v>
      </c>
      <c r="J82" s="58" t="n">
        <v>0</v>
      </c>
      <c r="K82" s="59" t="str">
        <f aca="false">IF(I82&lt;Paramètres!$C$11,"Cadre inférieur","Cadre supérieur")</f>
        <v>Cadre inférieur</v>
      </c>
      <c r="L82" s="57" t="n">
        <f aca="false">MIN(F82,MIN(N($E82)*Paramètres!$C$16,Paramètres!$D$16))+MIN(G82,MIN(N($E82)*Paramètres!$C$17,Paramètres!$D$17))+MIN(H82,MIN(N($E82)*Paramètres!$C$18,Paramètres!$D$18))</f>
        <v>53215</v>
      </c>
      <c r="M82" s="57" t="n">
        <f aca="false">MIN(N($E82),Paramètres!$C$7)*Paramètres!$C$6</f>
        <v>9756.285</v>
      </c>
      <c r="N82" s="57" t="n">
        <f aca="false">MIN(M82,I82*Paramètres!$C$8)</f>
        <v>9756.285</v>
      </c>
      <c r="O82" s="57" t="n">
        <f aca="false">I82*IF(K82="Cadre supérieur",Paramètres!$C$10,Paramètres!$C$9)</f>
        <v>31043</v>
      </c>
      <c r="P82" s="57" t="n">
        <f aca="false">MAX(0,ROUNDDOWN(N($E82)-L82-N82-O82,-2))</f>
        <v>83300</v>
      </c>
      <c r="Q82" s="57" t="n">
        <f aca="false">SUMPRODUCT((P82&gt;Paramètres!$B$21:$B$27)*(P82-Paramètres!$B$21:$B$27)*Paramètres!$E$21:$E$27)</f>
        <v>7108.1</v>
      </c>
      <c r="R82" s="57" t="n">
        <f aca="false">Q82*INDEX(Paramètres!$C$31:$C$38,MIN(MAX(INT(N(J82)),0),7)+1)</f>
        <v>0</v>
      </c>
      <c r="S82" s="60" t="n">
        <f aca="false">ROUND(Q82-R82,0)</f>
        <v>7108</v>
      </c>
      <c r="T82" s="57" t="n">
        <f aca="false">ROUND(N($E82)*Paramètres!$C$13,0)</f>
        <v>5322</v>
      </c>
      <c r="U82" s="57" t="n">
        <f aca="false">ROUND(MAX(0,N($E82)-(Q82-R82)-M82)*Paramètres!$C$12,0)</f>
        <v>1605</v>
      </c>
      <c r="V82" s="60" t="n">
        <f aca="false">ROUND(N($E82)-M82-S82-U82,0)</f>
        <v>158918</v>
      </c>
    </row>
    <row r="83" customFormat="false" ht="17.25" hidden="false" customHeight="true" outlineLevel="0" collapsed="false">
      <c r="B83" s="53" t="n">
        <v>72</v>
      </c>
      <c r="C83" s="54" t="s">
        <v>85</v>
      </c>
      <c r="D83" s="55" t="n">
        <v>46183</v>
      </c>
      <c r="E83" s="56" t="n">
        <f aca="false">'Juill-aout-sept 2026'!F81</f>
        <v>177387</v>
      </c>
      <c r="F83" s="57" t="n">
        <f aca="false">MIN(ROUNDDOWN(N($E83)*Paramètres!$C$16,0),Paramètres!$D$16)</f>
        <v>35477</v>
      </c>
      <c r="G83" s="57" t="n">
        <f aca="false">MIN(ROUNDDOWN(N($E83)*Paramètres!$C$17,0),Paramètres!$D$17)</f>
        <v>8869</v>
      </c>
      <c r="H83" s="57" t="n">
        <f aca="false">MIN(ROUNDDOWN(N($E83)*Paramètres!$C$18,0),Paramètres!$D$18)</f>
        <v>8869</v>
      </c>
      <c r="I83" s="57" t="n">
        <f aca="false">N($E83)-(F83+G83+H83)</f>
        <v>124172</v>
      </c>
      <c r="J83" s="58" t="n">
        <v>0</v>
      </c>
      <c r="K83" s="59" t="str">
        <f aca="false">IF(I83&lt;Paramètres!$C$11,"Cadre inférieur","Cadre supérieur")</f>
        <v>Cadre inférieur</v>
      </c>
      <c r="L83" s="57" t="n">
        <f aca="false">MIN(F83,MIN(N($E83)*Paramètres!$C$16,Paramètres!$D$16))+MIN(G83,MIN(N($E83)*Paramètres!$C$17,Paramètres!$D$17))+MIN(H83,MIN(N($E83)*Paramètres!$C$18,Paramètres!$D$18))</f>
        <v>53215</v>
      </c>
      <c r="M83" s="57" t="n">
        <f aca="false">MIN(N($E83),Paramètres!$C$7)*Paramètres!$C$6</f>
        <v>9756.285</v>
      </c>
      <c r="N83" s="57" t="n">
        <f aca="false">MIN(M83,I83*Paramètres!$C$8)</f>
        <v>9756.285</v>
      </c>
      <c r="O83" s="57" t="n">
        <f aca="false">I83*IF(K83="Cadre supérieur",Paramètres!$C$10,Paramètres!$C$9)</f>
        <v>31043</v>
      </c>
      <c r="P83" s="57" t="n">
        <f aca="false">MAX(0,ROUNDDOWN(N($E83)-L83-N83-O83,-2))</f>
        <v>83300</v>
      </c>
      <c r="Q83" s="57" t="n">
        <f aca="false">SUMPRODUCT((P83&gt;Paramètres!$B$21:$B$27)*(P83-Paramètres!$B$21:$B$27)*Paramètres!$E$21:$E$27)</f>
        <v>7108.1</v>
      </c>
      <c r="R83" s="57" t="n">
        <f aca="false">Q83*INDEX(Paramètres!$C$31:$C$38,MIN(MAX(INT(N(J83)),0),7)+1)</f>
        <v>0</v>
      </c>
      <c r="S83" s="60" t="n">
        <f aca="false">ROUND(Q83-R83,0)</f>
        <v>7108</v>
      </c>
      <c r="T83" s="57" t="n">
        <f aca="false">ROUND(N($E83)*Paramètres!$C$13,0)</f>
        <v>5322</v>
      </c>
      <c r="U83" s="57" t="n">
        <f aca="false">ROUND(MAX(0,N($E83)-(Q83-R83)-M83)*Paramètres!$C$12,0)</f>
        <v>1605</v>
      </c>
      <c r="V83" s="60" t="n">
        <f aca="false">ROUND(N($E83)-M83-S83-U83,0)</f>
        <v>158918</v>
      </c>
    </row>
    <row r="84" customFormat="false" ht="17.25" hidden="false" customHeight="true" outlineLevel="0" collapsed="false">
      <c r="B84" s="53" t="n">
        <v>73</v>
      </c>
      <c r="C84" s="54" t="s">
        <v>86</v>
      </c>
      <c r="D84" s="55" t="n">
        <v>46244</v>
      </c>
      <c r="E84" s="56" t="n">
        <f aca="false">'Juill-aout-sept 2026'!F82</f>
        <v>250000</v>
      </c>
      <c r="F84" s="57" t="n">
        <f aca="false">MIN(ROUNDDOWN(N($E84)*Paramètres!$C$16,0),Paramètres!$D$16)</f>
        <v>50000</v>
      </c>
      <c r="G84" s="57" t="n">
        <f aca="false">MIN(ROUNDDOWN(N($E84)*Paramètres!$C$17,0),Paramètres!$D$17)</f>
        <v>12500</v>
      </c>
      <c r="H84" s="57" t="n">
        <f aca="false">MIN(ROUNDDOWN(N($E84)*Paramètres!$C$18,0),Paramètres!$D$18)</f>
        <v>12500</v>
      </c>
      <c r="I84" s="57" t="n">
        <f aca="false">N($E84)-(F84+G84+H84)</f>
        <v>175000</v>
      </c>
      <c r="J84" s="58" t="n">
        <v>0</v>
      </c>
      <c r="K84" s="59" t="str">
        <f aca="false">IF(I84&lt;Paramètres!$C$11,"Cadre inférieur","Cadre supérieur")</f>
        <v>Cadre supérieur</v>
      </c>
      <c r="L84" s="57" t="n">
        <f aca="false">MIN(F84,MIN(N($E84)*Paramètres!$C$16,Paramètres!$D$16))+MIN(G84,MIN(N($E84)*Paramètres!$C$17,Paramètres!$D$17))+MIN(H84,MIN(N($E84)*Paramètres!$C$18,Paramètres!$D$18))</f>
        <v>75000</v>
      </c>
      <c r="M84" s="57" t="n">
        <f aca="false">MIN(N($E84),Paramètres!$C$7)*Paramètres!$C$6</f>
        <v>13750</v>
      </c>
      <c r="N84" s="57" t="n">
        <f aca="false">MIN(M84,I84*Paramètres!$C$8)</f>
        <v>13750</v>
      </c>
      <c r="O84" s="57" t="n">
        <f aca="false">I84*IF(K84="Cadre supérieur",Paramètres!$C$10,Paramètres!$C$9)</f>
        <v>35000</v>
      </c>
      <c r="P84" s="57" t="n">
        <f aca="false">MAX(0,ROUNDDOWN(N($E84)-L84-N84-O84,-2))</f>
        <v>126200</v>
      </c>
      <c r="Q84" s="57" t="n">
        <f aca="false">SUMPRODUCT((P84&gt;Paramètres!$B$21:$B$27)*(P84-Paramètres!$B$21:$B$27)*Paramètres!$E$21:$E$27)</f>
        <v>14010.8</v>
      </c>
      <c r="R84" s="57" t="n">
        <f aca="false">Q84*INDEX(Paramètres!$C$31:$C$38,MIN(MAX(INT(N(J84)),0),7)+1)</f>
        <v>0</v>
      </c>
      <c r="S84" s="60" t="n">
        <f aca="false">ROUND(Q84-R84,0)</f>
        <v>14011</v>
      </c>
      <c r="T84" s="57" t="n">
        <f aca="false">ROUND(N($E84)*Paramètres!$C$13,0)</f>
        <v>7500</v>
      </c>
      <c r="U84" s="57" t="n">
        <f aca="false">ROUND(MAX(0,N($E84)-(Q84-R84)-M84)*Paramètres!$C$12,0)</f>
        <v>2222</v>
      </c>
      <c r="V84" s="60" t="n">
        <f aca="false">ROUND(N($E84)-M84-S84-U84,0)</f>
        <v>220017</v>
      </c>
    </row>
    <row r="85" customFormat="false" ht="17.25" hidden="false" customHeight="true" outlineLevel="0" collapsed="false">
      <c r="B85" s="53" t="n">
        <v>74</v>
      </c>
      <c r="C85" s="54" t="s">
        <v>87</v>
      </c>
      <c r="D85" s="55" t="n">
        <v>46235</v>
      </c>
      <c r="E85" s="56" t="n">
        <f aca="false">'Juill-aout-sept 2026'!F83</f>
        <v>177387</v>
      </c>
      <c r="F85" s="57" t="n">
        <f aca="false">MIN(ROUNDDOWN(N($E85)*Paramètres!$C$16,0),Paramètres!$D$16)</f>
        <v>35477</v>
      </c>
      <c r="G85" s="57" t="n">
        <f aca="false">MIN(ROUNDDOWN(N($E85)*Paramètres!$C$17,0),Paramètres!$D$17)</f>
        <v>8869</v>
      </c>
      <c r="H85" s="57" t="n">
        <f aca="false">MIN(ROUNDDOWN(N($E85)*Paramètres!$C$18,0),Paramètres!$D$18)</f>
        <v>8869</v>
      </c>
      <c r="I85" s="57" t="n">
        <f aca="false">N($E85)-(F85+G85+H85)</f>
        <v>124172</v>
      </c>
      <c r="J85" s="58" t="n">
        <v>0</v>
      </c>
      <c r="K85" s="59" t="str">
        <f aca="false">IF(I85&lt;Paramètres!$C$11,"Cadre inférieur","Cadre supérieur")</f>
        <v>Cadre inférieur</v>
      </c>
      <c r="L85" s="57" t="n">
        <f aca="false">MIN(F85,MIN(N($E85)*Paramètres!$C$16,Paramètres!$D$16))+MIN(G85,MIN(N($E85)*Paramètres!$C$17,Paramètres!$D$17))+MIN(H85,MIN(N($E85)*Paramètres!$C$18,Paramètres!$D$18))</f>
        <v>53215</v>
      </c>
      <c r="M85" s="57" t="n">
        <f aca="false">MIN(N($E85),Paramètres!$C$7)*Paramètres!$C$6</f>
        <v>9756.285</v>
      </c>
      <c r="N85" s="57" t="n">
        <f aca="false">MIN(M85,I85*Paramètres!$C$8)</f>
        <v>9756.285</v>
      </c>
      <c r="O85" s="57" t="n">
        <f aca="false">I85*IF(K85="Cadre supérieur",Paramètres!$C$10,Paramètres!$C$9)</f>
        <v>31043</v>
      </c>
      <c r="P85" s="57" t="n">
        <f aca="false">MAX(0,ROUNDDOWN(N($E85)-L85-N85-O85,-2))</f>
        <v>83300</v>
      </c>
      <c r="Q85" s="57" t="n">
        <f aca="false">SUMPRODUCT((P85&gt;Paramètres!$B$21:$B$27)*(P85-Paramètres!$B$21:$B$27)*Paramètres!$E$21:$E$27)</f>
        <v>7108.1</v>
      </c>
      <c r="R85" s="57" t="n">
        <f aca="false">Q85*INDEX(Paramètres!$C$31:$C$38,MIN(MAX(INT(N(J85)),0),7)+1)</f>
        <v>0</v>
      </c>
      <c r="S85" s="60" t="n">
        <f aca="false">ROUND(Q85-R85,0)</f>
        <v>7108</v>
      </c>
      <c r="T85" s="57" t="n">
        <f aca="false">ROUND(N($E85)*Paramètres!$C$13,0)</f>
        <v>5322</v>
      </c>
      <c r="U85" s="57" t="n">
        <f aca="false">ROUND(MAX(0,N($E85)-(Q85-R85)-M85)*Paramètres!$C$12,0)</f>
        <v>1605</v>
      </c>
      <c r="V85" s="60" t="n">
        <f aca="false">ROUND(N($E85)-M85-S85-U85,0)</f>
        <v>158918</v>
      </c>
    </row>
    <row r="86" customFormat="false" ht="17.25" hidden="false" customHeight="true" outlineLevel="0" collapsed="false">
      <c r="B86" s="53" t="n">
        <v>75</v>
      </c>
      <c r="C86" s="54" t="s">
        <v>88</v>
      </c>
      <c r="D86" s="55" t="n">
        <v>46174</v>
      </c>
      <c r="E86" s="56" t="n">
        <f aca="false">'Juill-aout-sept 2026'!F84</f>
        <v>177387</v>
      </c>
      <c r="F86" s="57" t="n">
        <f aca="false">MIN(ROUNDDOWN(N($E86)*Paramètres!$C$16,0),Paramètres!$D$16)</f>
        <v>35477</v>
      </c>
      <c r="G86" s="57" t="n">
        <f aca="false">MIN(ROUNDDOWN(N($E86)*Paramètres!$C$17,0),Paramètres!$D$17)</f>
        <v>8869</v>
      </c>
      <c r="H86" s="57" t="n">
        <f aca="false">MIN(ROUNDDOWN(N($E86)*Paramètres!$C$18,0),Paramètres!$D$18)</f>
        <v>8869</v>
      </c>
      <c r="I86" s="57" t="n">
        <f aca="false">N($E86)-(F86+G86+H86)</f>
        <v>124172</v>
      </c>
      <c r="J86" s="58" t="n">
        <v>0</v>
      </c>
      <c r="K86" s="59" t="str">
        <f aca="false">IF(I86&lt;Paramètres!$C$11,"Cadre inférieur","Cadre supérieur")</f>
        <v>Cadre inférieur</v>
      </c>
      <c r="L86" s="57" t="n">
        <f aca="false">MIN(F86,MIN(N($E86)*Paramètres!$C$16,Paramètres!$D$16))+MIN(G86,MIN(N($E86)*Paramètres!$C$17,Paramètres!$D$17))+MIN(H86,MIN(N($E86)*Paramètres!$C$18,Paramètres!$D$18))</f>
        <v>53215</v>
      </c>
      <c r="M86" s="57" t="n">
        <f aca="false">MIN(N($E86),Paramètres!$C$7)*Paramètres!$C$6</f>
        <v>9756.285</v>
      </c>
      <c r="N86" s="57" t="n">
        <f aca="false">MIN(M86,I86*Paramètres!$C$8)</f>
        <v>9756.285</v>
      </c>
      <c r="O86" s="57" t="n">
        <f aca="false">I86*IF(K86="Cadre supérieur",Paramètres!$C$10,Paramètres!$C$9)</f>
        <v>31043</v>
      </c>
      <c r="P86" s="57" t="n">
        <f aca="false">MAX(0,ROUNDDOWN(N($E86)-L86-N86-O86,-2))</f>
        <v>83300</v>
      </c>
      <c r="Q86" s="57" t="n">
        <f aca="false">SUMPRODUCT((P86&gt;Paramètres!$B$21:$B$27)*(P86-Paramètres!$B$21:$B$27)*Paramètres!$E$21:$E$27)</f>
        <v>7108.1</v>
      </c>
      <c r="R86" s="57" t="n">
        <f aca="false">Q86*INDEX(Paramètres!$C$31:$C$38,MIN(MAX(INT(N(J86)),0),7)+1)</f>
        <v>0</v>
      </c>
      <c r="S86" s="60" t="n">
        <f aca="false">ROUND(Q86-R86,0)</f>
        <v>7108</v>
      </c>
      <c r="T86" s="57" t="n">
        <f aca="false">ROUND(N($E86)*Paramètres!$C$13,0)</f>
        <v>5322</v>
      </c>
      <c r="U86" s="57" t="n">
        <f aca="false">ROUND(MAX(0,N($E86)-(Q86-R86)-M86)*Paramètres!$C$12,0)</f>
        <v>1605</v>
      </c>
      <c r="V86" s="60" t="n">
        <f aca="false">ROUND(N($E86)-M86-S86-U86,0)</f>
        <v>158918</v>
      </c>
    </row>
    <row r="87" customFormat="false" ht="17.25" hidden="false" customHeight="true" outlineLevel="0" collapsed="false">
      <c r="B87" s="53" t="n">
        <v>76</v>
      </c>
      <c r="C87" s="54" t="s">
        <v>89</v>
      </c>
      <c r="D87" s="55" t="n">
        <v>46249</v>
      </c>
      <c r="E87" s="56" t="n">
        <f aca="false">'Juill-aout-sept 2026'!F85</f>
        <v>165340</v>
      </c>
      <c r="F87" s="57" t="n">
        <f aca="false">MIN(ROUNDDOWN(N($E87)*Paramètres!$C$16,0),Paramètres!$D$16)</f>
        <v>33068</v>
      </c>
      <c r="G87" s="57" t="n">
        <f aca="false">MIN(ROUNDDOWN(N($E87)*Paramètres!$C$17,0),Paramètres!$D$17)</f>
        <v>8267</v>
      </c>
      <c r="H87" s="57" t="n">
        <f aca="false">MIN(ROUNDDOWN(N($E87)*Paramètres!$C$18,0),Paramètres!$D$18)</f>
        <v>8267</v>
      </c>
      <c r="I87" s="57" t="n">
        <f aca="false">N($E87)-(F87+G87+H87)</f>
        <v>115738</v>
      </c>
      <c r="J87" s="58" t="n">
        <v>0</v>
      </c>
      <c r="K87" s="59" t="str">
        <f aca="false">IF(I87&lt;Paramètres!$C$11,"Cadre inférieur","Cadre supérieur")</f>
        <v>Cadre inférieur</v>
      </c>
      <c r="L87" s="57" t="n">
        <f aca="false">MIN(F87,MIN(N($E87)*Paramètres!$C$16,Paramètres!$D$16))+MIN(G87,MIN(N($E87)*Paramètres!$C$17,Paramètres!$D$17))+MIN(H87,MIN(N($E87)*Paramètres!$C$18,Paramètres!$D$18))</f>
        <v>49602</v>
      </c>
      <c r="M87" s="57" t="n">
        <f aca="false">MIN(N($E87),Paramètres!$C$7)*Paramètres!$C$6</f>
        <v>9093.7</v>
      </c>
      <c r="N87" s="57" t="n">
        <f aca="false">MIN(M87,I87*Paramètres!$C$8)</f>
        <v>9093.7</v>
      </c>
      <c r="O87" s="57" t="n">
        <f aca="false">I87*IF(K87="Cadre supérieur",Paramètres!$C$10,Paramètres!$C$9)</f>
        <v>28934.5</v>
      </c>
      <c r="P87" s="57" t="n">
        <f aca="false">MAX(0,ROUNDDOWN(N($E87)-L87-N87-O87,-2))</f>
        <v>77700</v>
      </c>
      <c r="Q87" s="57" t="n">
        <f aca="false">SUMPRODUCT((P87&gt;Paramètres!$B$21:$B$27)*(P87-Paramètres!$B$21:$B$27)*Paramètres!$E$21:$E$27)</f>
        <v>6270.3</v>
      </c>
      <c r="R87" s="57" t="n">
        <f aca="false">Q87*INDEX(Paramètres!$C$31:$C$38,MIN(MAX(INT(N(J87)),0),7)+1)</f>
        <v>0</v>
      </c>
      <c r="S87" s="60" t="n">
        <f aca="false">ROUND(Q87-R87,0)</f>
        <v>6270</v>
      </c>
      <c r="T87" s="57" t="n">
        <f aca="false">ROUND(N($E87)*Paramètres!$C$13,0)</f>
        <v>4960</v>
      </c>
      <c r="U87" s="57" t="n">
        <f aca="false">ROUND(MAX(0,N($E87)-(Q87-R87)-M87)*Paramètres!$C$12,0)</f>
        <v>1500</v>
      </c>
      <c r="V87" s="60" t="n">
        <f aca="false">ROUND(N($E87)-M87-S87-U87,0)</f>
        <v>148476</v>
      </c>
    </row>
    <row r="88" customFormat="false" ht="17.25" hidden="false" customHeight="true" outlineLevel="0" collapsed="false">
      <c r="B88" s="53" t="n">
        <v>77</v>
      </c>
      <c r="C88" s="54" t="s">
        <v>90</v>
      </c>
      <c r="D88" s="55" t="n">
        <v>46296</v>
      </c>
      <c r="E88" s="56" t="n">
        <f aca="false">'Juill-aout-sept 2026'!F86</f>
        <v>0</v>
      </c>
      <c r="F88" s="57" t="n">
        <f aca="false">MIN(ROUNDDOWN(N($E88)*Paramètres!$C$16,0),Paramètres!$D$16)</f>
        <v>0</v>
      </c>
      <c r="G88" s="57" t="n">
        <f aca="false">MIN(ROUNDDOWN(N($E88)*Paramètres!$C$17,0),Paramètres!$D$17)</f>
        <v>0</v>
      </c>
      <c r="H88" s="57" t="n">
        <f aca="false">MIN(ROUNDDOWN(N($E88)*Paramètres!$C$18,0),Paramètres!$D$18)</f>
        <v>0</v>
      </c>
      <c r="I88" s="57" t="n">
        <f aca="false">N($E88)-(F88+G88+H88)</f>
        <v>0</v>
      </c>
      <c r="J88" s="58" t="n">
        <v>0</v>
      </c>
      <c r="K88" s="59" t="str">
        <f aca="false">IF(I88&lt;Paramètres!$C$11,"Cadre inférieur","Cadre supérieur")</f>
        <v>Cadre inférieur</v>
      </c>
      <c r="L88" s="57" t="n">
        <f aca="false">MIN(F88,MIN(N($E88)*Paramètres!$C$16,Paramètres!$D$16))+MIN(G88,MIN(N($E88)*Paramètres!$C$17,Paramètres!$D$17))+MIN(H88,MIN(N($E88)*Paramètres!$C$18,Paramètres!$D$18))</f>
        <v>0</v>
      </c>
      <c r="M88" s="57" t="n">
        <f aca="false">MIN(N($E88),Paramètres!$C$7)*Paramètres!$C$6</f>
        <v>0</v>
      </c>
      <c r="N88" s="57" t="n">
        <f aca="false">MIN(M88,I88*Paramètres!$C$8)</f>
        <v>0</v>
      </c>
      <c r="O88" s="57" t="n">
        <f aca="false">I88*IF(K88="Cadre supérieur",Paramètres!$C$10,Paramètres!$C$9)</f>
        <v>0</v>
      </c>
      <c r="P88" s="57" t="n">
        <f aca="false">MAX(0,ROUNDDOWN(N($E88)-L88-N88-O88,-2))</f>
        <v>0</v>
      </c>
      <c r="Q88" s="57" t="n">
        <f aca="false">SUMPRODUCT((P88&gt;Paramètres!$B$21:$B$27)*(P88-Paramètres!$B$21:$B$27)*Paramètres!$E$21:$E$27)</f>
        <v>0</v>
      </c>
      <c r="R88" s="57" t="n">
        <f aca="false">Q88*INDEX(Paramètres!$C$31:$C$38,MIN(MAX(INT(N(J88)),0),7)+1)</f>
        <v>0</v>
      </c>
      <c r="S88" s="60" t="n">
        <f aca="false">ROUND(Q88-R88,0)</f>
        <v>0</v>
      </c>
      <c r="T88" s="57" t="n">
        <f aca="false">ROUND(N($E88)*Paramètres!$C$13,0)</f>
        <v>0</v>
      </c>
      <c r="U88" s="57" t="n">
        <f aca="false">ROUND(MAX(0,N($E88)-(Q88-R88)-M88)*Paramètres!$C$12,0)</f>
        <v>0</v>
      </c>
      <c r="V88" s="60" t="n">
        <f aca="false">ROUND(N($E88)-M88-S88-U88,0)</f>
        <v>0</v>
      </c>
    </row>
    <row r="89" customFormat="false" ht="17.25" hidden="false" customHeight="true" outlineLevel="0" collapsed="false">
      <c r="B89" s="53" t="n">
        <v>78</v>
      </c>
      <c r="C89" s="54" t="s">
        <v>91</v>
      </c>
      <c r="D89" s="55" t="n">
        <v>45901</v>
      </c>
      <c r="E89" s="56" t="n">
        <f aca="false">'Juill-aout-sept 2026'!F87</f>
        <v>213566</v>
      </c>
      <c r="F89" s="57" t="n">
        <f aca="false">MIN(ROUNDDOWN(N($E89)*Paramètres!$C$16,0),Paramètres!$D$16)</f>
        <v>42713</v>
      </c>
      <c r="G89" s="57" t="n">
        <f aca="false">MIN(ROUNDDOWN(N($E89)*Paramètres!$C$17,0),Paramètres!$D$17)</f>
        <v>10678</v>
      </c>
      <c r="H89" s="57" t="n">
        <f aca="false">MIN(ROUNDDOWN(N($E89)*Paramètres!$C$18,0),Paramètres!$D$18)</f>
        <v>10678</v>
      </c>
      <c r="I89" s="57" t="n">
        <f aca="false">N($E89)-(F89+G89+H89)</f>
        <v>149497</v>
      </c>
      <c r="J89" s="58" t="n">
        <v>0</v>
      </c>
      <c r="K89" s="59" t="str">
        <f aca="false">IF(I89&lt;Paramètres!$C$11,"Cadre inférieur","Cadre supérieur")</f>
        <v>Cadre inférieur</v>
      </c>
      <c r="L89" s="57" t="n">
        <f aca="false">MIN(F89,MIN(N($E89)*Paramètres!$C$16,Paramètres!$D$16))+MIN(G89,MIN(N($E89)*Paramètres!$C$17,Paramètres!$D$17))+MIN(H89,MIN(N($E89)*Paramètres!$C$18,Paramètres!$D$18))</f>
        <v>64069</v>
      </c>
      <c r="M89" s="57" t="n">
        <f aca="false">MIN(N($E89),Paramètres!$C$7)*Paramètres!$C$6</f>
        <v>11746.13</v>
      </c>
      <c r="N89" s="57" t="n">
        <f aca="false">MIN(M89,I89*Paramètres!$C$8)</f>
        <v>11746.13</v>
      </c>
      <c r="O89" s="57" t="n">
        <f aca="false">I89*IF(K89="Cadre supérieur",Paramètres!$C$10,Paramètres!$C$9)</f>
        <v>37374.25</v>
      </c>
      <c r="P89" s="57" t="n">
        <f aca="false">MAX(0,ROUNDDOWN(N($E89)-L89-N89-O89,-2))</f>
        <v>100300</v>
      </c>
      <c r="Q89" s="57" t="n">
        <f aca="false">SUMPRODUCT((P89&gt;Paramètres!$B$21:$B$27)*(P89-Paramètres!$B$21:$B$27)*Paramètres!$E$21:$E$27)</f>
        <v>9777.1</v>
      </c>
      <c r="R89" s="57" t="n">
        <f aca="false">Q89*INDEX(Paramètres!$C$31:$C$38,MIN(MAX(INT(N(J89)),0),7)+1)</f>
        <v>0</v>
      </c>
      <c r="S89" s="60" t="n">
        <f aca="false">ROUND(Q89-R89,0)</f>
        <v>9777</v>
      </c>
      <c r="T89" s="57" t="n">
        <f aca="false">ROUND(N($E89)*Paramètres!$C$13,0)</f>
        <v>6407</v>
      </c>
      <c r="U89" s="57" t="n">
        <f aca="false">ROUND(MAX(0,N($E89)-(Q89-R89)-M89)*Paramètres!$C$12,0)</f>
        <v>1920</v>
      </c>
      <c r="V89" s="60" t="n">
        <f aca="false">ROUND(N($E89)-M89-S89-U89,0)</f>
        <v>190123</v>
      </c>
    </row>
    <row r="90" customFormat="false" ht="17.25" hidden="false" customHeight="true" outlineLevel="0" collapsed="false">
      <c r="B90" s="53"/>
      <c r="C90" s="54" t="s">
        <v>92</v>
      </c>
      <c r="D90" s="55"/>
      <c r="E90" s="56" t="n">
        <f aca="false">'Juill-aout-sept 2026'!F88</f>
        <v>0</v>
      </c>
      <c r="F90" s="57" t="n">
        <f aca="false">MIN(ROUNDDOWN(N($E90)*Paramètres!$C$16,0),Paramètres!$D$16)</f>
        <v>0</v>
      </c>
      <c r="G90" s="57" t="n">
        <f aca="false">MIN(ROUNDDOWN(N($E90)*Paramètres!$C$17,0),Paramètres!$D$17)</f>
        <v>0</v>
      </c>
      <c r="H90" s="57" t="n">
        <f aca="false">MIN(ROUNDDOWN(N($E90)*Paramètres!$C$18,0),Paramètres!$D$18)</f>
        <v>0</v>
      </c>
      <c r="I90" s="57" t="n">
        <f aca="false">N($E90)-(F90+G90+H90)</f>
        <v>0</v>
      </c>
      <c r="J90" s="58" t="n">
        <v>0</v>
      </c>
      <c r="K90" s="59" t="str">
        <f aca="false">IF(I90&lt;Paramètres!$C$11,"Cadre inférieur","Cadre supérieur")</f>
        <v>Cadre inférieur</v>
      </c>
      <c r="L90" s="57" t="n">
        <f aca="false">MIN(F90,MIN(N($E90)*Paramètres!$C$16,Paramètres!$D$16))+MIN(G90,MIN(N($E90)*Paramètres!$C$17,Paramètres!$D$17))+MIN(H90,MIN(N($E90)*Paramètres!$C$18,Paramètres!$D$18))</f>
        <v>0</v>
      </c>
      <c r="M90" s="57" t="n">
        <f aca="false">MIN(N($E90),Paramètres!$C$7)*Paramètres!$C$6</f>
        <v>0</v>
      </c>
      <c r="N90" s="57" t="n">
        <f aca="false">MIN(M90,I90*Paramètres!$C$8)</f>
        <v>0</v>
      </c>
      <c r="O90" s="57" t="n">
        <f aca="false">I90*IF(K90="Cadre supérieur",Paramètres!$C$10,Paramètres!$C$9)</f>
        <v>0</v>
      </c>
      <c r="P90" s="57" t="n">
        <f aca="false">MAX(0,ROUNDDOWN(N($E90)-L90-N90-O90,-2))</f>
        <v>0</v>
      </c>
      <c r="Q90" s="57" t="n">
        <f aca="false">SUMPRODUCT((P90&gt;Paramètres!$B$21:$B$27)*(P90-Paramètres!$B$21:$B$27)*Paramètres!$E$21:$E$27)</f>
        <v>0</v>
      </c>
      <c r="R90" s="57" t="n">
        <f aca="false">Q90*INDEX(Paramètres!$C$31:$C$38,MIN(MAX(INT(N(J90)),0),7)+1)</f>
        <v>0</v>
      </c>
      <c r="S90" s="60" t="n">
        <f aca="false">ROUND(Q90-R90,0)</f>
        <v>0</v>
      </c>
      <c r="T90" s="57" t="n">
        <f aca="false">ROUND(N($E90)*Paramètres!$C$13,0)</f>
        <v>0</v>
      </c>
      <c r="U90" s="57" t="n">
        <f aca="false">ROUND(MAX(0,N($E90)-(Q90-R90)-M90)*Paramètres!$C$12,0)</f>
        <v>0</v>
      </c>
      <c r="V90" s="60" t="n">
        <f aca="false">ROUND(N($E90)-M90-S90-U90,0)</f>
        <v>0</v>
      </c>
    </row>
    <row r="91" customFormat="false" ht="17.25" hidden="false" customHeight="true" outlineLevel="0" collapsed="false">
      <c r="B91" s="53"/>
      <c r="C91" s="54" t="s">
        <v>93</v>
      </c>
      <c r="D91" s="55"/>
      <c r="E91" s="56" t="n">
        <f aca="false">'Juill-aout-sept 2026'!F89</f>
        <v>0</v>
      </c>
      <c r="F91" s="57" t="n">
        <f aca="false">MIN(ROUNDDOWN(N($E91)*Paramètres!$C$16,0),Paramètres!$D$16)</f>
        <v>0</v>
      </c>
      <c r="G91" s="57" t="n">
        <f aca="false">MIN(ROUNDDOWN(N($E91)*Paramètres!$C$17,0),Paramètres!$D$17)</f>
        <v>0</v>
      </c>
      <c r="H91" s="57" t="n">
        <f aca="false">MIN(ROUNDDOWN(N($E91)*Paramètres!$C$18,0),Paramètres!$D$18)</f>
        <v>0</v>
      </c>
      <c r="I91" s="57" t="n">
        <f aca="false">N($E91)-(F91+G91+H91)</f>
        <v>0</v>
      </c>
      <c r="J91" s="58" t="n">
        <v>0</v>
      </c>
      <c r="K91" s="59" t="str">
        <f aca="false">IF(I91&lt;Paramètres!$C$11,"Cadre inférieur","Cadre supérieur")</f>
        <v>Cadre inférieur</v>
      </c>
      <c r="L91" s="57" t="n">
        <f aca="false">MIN(F91,MIN(N($E91)*Paramètres!$C$16,Paramètres!$D$16))+MIN(G91,MIN(N($E91)*Paramètres!$C$17,Paramètres!$D$17))+MIN(H91,MIN(N($E91)*Paramètres!$C$18,Paramètres!$D$18))</f>
        <v>0</v>
      </c>
      <c r="M91" s="57" t="n">
        <f aca="false">MIN(N($E91),Paramètres!$C$7)*Paramètres!$C$6</f>
        <v>0</v>
      </c>
      <c r="N91" s="57" t="n">
        <f aca="false">MIN(M91,I91*Paramètres!$C$8)</f>
        <v>0</v>
      </c>
      <c r="O91" s="57" t="n">
        <f aca="false">I91*IF(K91="Cadre supérieur",Paramètres!$C$10,Paramètres!$C$9)</f>
        <v>0</v>
      </c>
      <c r="P91" s="57" t="n">
        <f aca="false">MAX(0,ROUNDDOWN(N($E91)-L91-N91-O91,-2))</f>
        <v>0</v>
      </c>
      <c r="Q91" s="57" t="n">
        <f aca="false">SUMPRODUCT((P91&gt;Paramètres!$B$21:$B$27)*(P91-Paramètres!$B$21:$B$27)*Paramètres!$E$21:$E$27)</f>
        <v>0</v>
      </c>
      <c r="R91" s="57" t="n">
        <f aca="false">Q91*INDEX(Paramètres!$C$31:$C$38,MIN(MAX(INT(N(J91)),0),7)+1)</f>
        <v>0</v>
      </c>
      <c r="S91" s="60" t="n">
        <f aca="false">ROUND(Q91-R91,0)</f>
        <v>0</v>
      </c>
      <c r="T91" s="57" t="n">
        <f aca="false">ROUND(N($E91)*Paramètres!$C$13,0)</f>
        <v>0</v>
      </c>
      <c r="U91" s="57" t="n">
        <f aca="false">ROUND(MAX(0,N($E91)-(Q91-R91)-M91)*Paramètres!$C$12,0)</f>
        <v>0</v>
      </c>
      <c r="V91" s="60" t="n">
        <f aca="false">ROUND(N($E91)-M91-S91-U91,0)</f>
        <v>0</v>
      </c>
    </row>
    <row r="92" customFormat="false" ht="17.25" hidden="false" customHeight="true" outlineLevel="0" collapsed="false">
      <c r="B92" s="53" t="n">
        <v>79</v>
      </c>
      <c r="C92" s="54" t="s">
        <v>94</v>
      </c>
      <c r="D92" s="55" t="n">
        <v>45778</v>
      </c>
      <c r="E92" s="56" t="n">
        <f aca="false">'Juill-aout-sept 2026'!F90</f>
        <v>231913</v>
      </c>
      <c r="F92" s="57" t="n">
        <f aca="false">MIN(ROUNDDOWN(N($E92)*Paramètres!$C$16,0),Paramètres!$D$16)</f>
        <v>46382</v>
      </c>
      <c r="G92" s="57" t="n">
        <f aca="false">MIN(ROUNDDOWN(N($E92)*Paramètres!$C$17,0),Paramètres!$D$17)</f>
        <v>11595</v>
      </c>
      <c r="H92" s="57" t="n">
        <f aca="false">MIN(ROUNDDOWN(N($E92)*Paramètres!$C$18,0),Paramètres!$D$18)</f>
        <v>11595</v>
      </c>
      <c r="I92" s="57" t="n">
        <f aca="false">N($E92)-(F92+G92+H92)</f>
        <v>162341</v>
      </c>
      <c r="J92" s="58" t="n">
        <v>0</v>
      </c>
      <c r="K92" s="59" t="str">
        <f aca="false">IF(I92&lt;Paramètres!$C$11,"Cadre inférieur","Cadre supérieur")</f>
        <v>Cadre supérieur</v>
      </c>
      <c r="L92" s="57" t="n">
        <f aca="false">MIN(F92,MIN(N($E92)*Paramètres!$C$16,Paramètres!$D$16))+MIN(G92,MIN(N($E92)*Paramètres!$C$17,Paramètres!$D$17))+MIN(H92,MIN(N($E92)*Paramètres!$C$18,Paramètres!$D$18))</f>
        <v>69572</v>
      </c>
      <c r="M92" s="57" t="n">
        <f aca="false">MIN(N($E92),Paramètres!$C$7)*Paramètres!$C$6</f>
        <v>12755.215</v>
      </c>
      <c r="N92" s="57" t="n">
        <f aca="false">MIN(M92,I92*Paramètres!$C$8)</f>
        <v>12755.215</v>
      </c>
      <c r="O92" s="57" t="n">
        <f aca="false">I92*IF(K92="Cadre supérieur",Paramètres!$C$10,Paramètres!$C$9)</f>
        <v>32468.2</v>
      </c>
      <c r="P92" s="57" t="n">
        <f aca="false">MAX(0,ROUNDDOWN(N($E92)-L92-N92-O92,-2))</f>
        <v>117100</v>
      </c>
      <c r="Q92" s="57" t="n">
        <f aca="false">SUMPRODUCT((P92&gt;Paramètres!$B$21:$B$27)*(P92-Paramètres!$B$21:$B$27)*Paramètres!$E$21:$E$27)</f>
        <v>12414.7</v>
      </c>
      <c r="R92" s="57" t="n">
        <f aca="false">Q92*INDEX(Paramètres!$C$31:$C$38,MIN(MAX(INT(N(J92)),0),7)+1)</f>
        <v>0</v>
      </c>
      <c r="S92" s="60" t="n">
        <f aca="false">ROUND(Q92-R92,0)</f>
        <v>12415</v>
      </c>
      <c r="T92" s="57" t="n">
        <f aca="false">ROUND(N($E92)*Paramètres!$C$13,0)</f>
        <v>6957</v>
      </c>
      <c r="U92" s="57" t="n">
        <f aca="false">ROUND(MAX(0,N($E92)-(Q92-R92)-M92)*Paramètres!$C$12,0)</f>
        <v>2067</v>
      </c>
      <c r="V92" s="60" t="n">
        <f aca="false">ROUND(N($E92)-M92-S92-U92,0)</f>
        <v>204676</v>
      </c>
    </row>
    <row r="93" customFormat="false" ht="17.25" hidden="false" customHeight="true" outlineLevel="0" collapsed="false">
      <c r="B93" s="53" t="n">
        <v>80</v>
      </c>
      <c r="C93" s="54" t="s">
        <v>95</v>
      </c>
      <c r="D93" s="55" t="n">
        <v>46061</v>
      </c>
      <c r="E93" s="56" t="n">
        <f aca="false">'Juill-aout-sept 2026'!F91</f>
        <v>213566</v>
      </c>
      <c r="F93" s="57" t="n">
        <f aca="false">MIN(ROUNDDOWN(N($E93)*Paramètres!$C$16,0),Paramètres!$D$16)</f>
        <v>42713</v>
      </c>
      <c r="G93" s="57" t="n">
        <f aca="false">MIN(ROUNDDOWN(N($E93)*Paramètres!$C$17,0),Paramètres!$D$17)</f>
        <v>10678</v>
      </c>
      <c r="H93" s="57" t="n">
        <f aca="false">MIN(ROUNDDOWN(N($E93)*Paramètres!$C$18,0),Paramètres!$D$18)</f>
        <v>10678</v>
      </c>
      <c r="I93" s="57" t="n">
        <f aca="false">N($E93)-(F93+G93+H93)</f>
        <v>149497</v>
      </c>
      <c r="J93" s="58" t="n">
        <v>0</v>
      </c>
      <c r="K93" s="59" t="str">
        <f aca="false">IF(I93&lt;Paramètres!$C$11,"Cadre inférieur","Cadre supérieur")</f>
        <v>Cadre inférieur</v>
      </c>
      <c r="L93" s="57" t="n">
        <f aca="false">MIN(F93,MIN(N($E93)*Paramètres!$C$16,Paramètres!$D$16))+MIN(G93,MIN(N($E93)*Paramètres!$C$17,Paramètres!$D$17))+MIN(H93,MIN(N($E93)*Paramètres!$C$18,Paramètres!$D$18))</f>
        <v>64069</v>
      </c>
      <c r="M93" s="57" t="n">
        <f aca="false">MIN(N($E93),Paramètres!$C$7)*Paramètres!$C$6</f>
        <v>11746.13</v>
      </c>
      <c r="N93" s="57" t="n">
        <f aca="false">MIN(M93,I93*Paramètres!$C$8)</f>
        <v>11746.13</v>
      </c>
      <c r="O93" s="57" t="n">
        <f aca="false">I93*IF(K93="Cadre supérieur",Paramètres!$C$10,Paramètres!$C$9)</f>
        <v>37374.25</v>
      </c>
      <c r="P93" s="57" t="n">
        <f aca="false">MAX(0,ROUNDDOWN(N($E93)-L93-N93-O93,-2))</f>
        <v>100300</v>
      </c>
      <c r="Q93" s="57" t="n">
        <f aca="false">SUMPRODUCT((P93&gt;Paramètres!$B$21:$B$27)*(P93-Paramètres!$B$21:$B$27)*Paramètres!$E$21:$E$27)</f>
        <v>9777.1</v>
      </c>
      <c r="R93" s="57" t="n">
        <f aca="false">Q93*INDEX(Paramètres!$C$31:$C$38,MIN(MAX(INT(N(J93)),0),7)+1)</f>
        <v>0</v>
      </c>
      <c r="S93" s="60" t="n">
        <f aca="false">ROUND(Q93-R93,0)</f>
        <v>9777</v>
      </c>
      <c r="T93" s="57" t="n">
        <f aca="false">ROUND(N($E93)*Paramètres!$C$13,0)</f>
        <v>6407</v>
      </c>
      <c r="U93" s="57" t="n">
        <f aca="false">ROUND(MAX(0,N($E93)-(Q93-R93)-M93)*Paramètres!$C$12,0)</f>
        <v>1920</v>
      </c>
      <c r="V93" s="60" t="n">
        <f aca="false">ROUND(N($E93)-M93-S93-U93,0)</f>
        <v>190123</v>
      </c>
    </row>
    <row r="94" customFormat="false" ht="17.25" hidden="false" customHeight="true" outlineLevel="0" collapsed="false">
      <c r="B94" s="53" t="n">
        <v>81</v>
      </c>
      <c r="C94" s="54" t="s">
        <v>96</v>
      </c>
      <c r="D94" s="55" t="n">
        <v>46220</v>
      </c>
      <c r="E94" s="56" t="n">
        <f aca="false">'Juill-aout-sept 2026'!F92</f>
        <v>195484</v>
      </c>
      <c r="F94" s="57" t="n">
        <f aca="false">MIN(ROUNDDOWN(N($E94)*Paramètres!$C$16,0),Paramètres!$D$16)</f>
        <v>39096</v>
      </c>
      <c r="G94" s="57" t="n">
        <f aca="false">MIN(ROUNDDOWN(N($E94)*Paramètres!$C$17,0),Paramètres!$D$17)</f>
        <v>9774</v>
      </c>
      <c r="H94" s="57" t="n">
        <f aca="false">MIN(ROUNDDOWN(N($E94)*Paramètres!$C$18,0),Paramètres!$D$18)</f>
        <v>9774</v>
      </c>
      <c r="I94" s="57" t="n">
        <f aca="false">N($E94)-(F94+G94+H94)</f>
        <v>136840</v>
      </c>
      <c r="J94" s="58" t="n">
        <v>0</v>
      </c>
      <c r="K94" s="59" t="str">
        <f aca="false">IF(I94&lt;Paramètres!$C$11,"Cadre inférieur","Cadre supérieur")</f>
        <v>Cadre inférieur</v>
      </c>
      <c r="L94" s="57" t="n">
        <f aca="false">MIN(F94,MIN(N($E94)*Paramètres!$C$16,Paramètres!$D$16))+MIN(G94,MIN(N($E94)*Paramètres!$C$17,Paramètres!$D$17))+MIN(H94,MIN(N($E94)*Paramètres!$C$18,Paramètres!$D$18))</f>
        <v>58644</v>
      </c>
      <c r="M94" s="57" t="n">
        <f aca="false">MIN(N($E94),Paramètres!$C$7)*Paramètres!$C$6</f>
        <v>10751.62</v>
      </c>
      <c r="N94" s="57" t="n">
        <f aca="false">MIN(M94,I94*Paramètres!$C$8)</f>
        <v>10751.62</v>
      </c>
      <c r="O94" s="57" t="n">
        <f aca="false">I94*IF(K94="Cadre supérieur",Paramètres!$C$10,Paramètres!$C$9)</f>
        <v>34210</v>
      </c>
      <c r="P94" s="57" t="n">
        <f aca="false">MAX(0,ROUNDDOWN(N($E94)-L94-N94-O94,-2))</f>
        <v>91800</v>
      </c>
      <c r="Q94" s="57" t="n">
        <f aca="false">SUMPRODUCT((P94&gt;Paramètres!$B$21:$B$27)*(P94-Paramètres!$B$21:$B$27)*Paramètres!$E$21:$E$27)</f>
        <v>8442.6</v>
      </c>
      <c r="R94" s="57" t="n">
        <f aca="false">Q94*INDEX(Paramètres!$C$31:$C$38,MIN(MAX(INT(N(J94)),0),7)+1)</f>
        <v>0</v>
      </c>
      <c r="S94" s="60" t="n">
        <f aca="false">ROUND(Q94-R94,0)</f>
        <v>8443</v>
      </c>
      <c r="T94" s="57" t="n">
        <f aca="false">ROUND(N($E94)*Paramètres!$C$13,0)</f>
        <v>5865</v>
      </c>
      <c r="U94" s="57" t="n">
        <f aca="false">ROUND(MAX(0,N($E94)-(Q94-R94)-M94)*Paramètres!$C$12,0)</f>
        <v>1763</v>
      </c>
      <c r="V94" s="60" t="n">
        <f aca="false">ROUND(N($E94)-M94-S94-U94,0)</f>
        <v>174526</v>
      </c>
    </row>
    <row r="95" customFormat="false" ht="17.25" hidden="false" customHeight="true" outlineLevel="0" collapsed="false">
      <c r="B95" s="53" t="n">
        <v>82</v>
      </c>
      <c r="C95" s="54" t="s">
        <v>97</v>
      </c>
      <c r="D95" s="55" t="n">
        <v>46174</v>
      </c>
      <c r="E95" s="56" t="n">
        <f aca="false">'Juill-aout-sept 2026'!F93</f>
        <v>177387</v>
      </c>
      <c r="F95" s="57" t="n">
        <f aca="false">MIN(ROUNDDOWN(N($E95)*Paramètres!$C$16,0),Paramètres!$D$16)</f>
        <v>35477</v>
      </c>
      <c r="G95" s="57" t="n">
        <f aca="false">MIN(ROUNDDOWN(N($E95)*Paramètres!$C$17,0),Paramètres!$D$17)</f>
        <v>8869</v>
      </c>
      <c r="H95" s="57" t="n">
        <f aca="false">MIN(ROUNDDOWN(N($E95)*Paramètres!$C$18,0),Paramètres!$D$18)</f>
        <v>8869</v>
      </c>
      <c r="I95" s="57" t="n">
        <f aca="false">N($E95)-(F95+G95+H95)</f>
        <v>124172</v>
      </c>
      <c r="J95" s="58" t="n">
        <v>0</v>
      </c>
      <c r="K95" s="59" t="str">
        <f aca="false">IF(I95&lt;Paramètres!$C$11,"Cadre inférieur","Cadre supérieur")</f>
        <v>Cadre inférieur</v>
      </c>
      <c r="L95" s="57" t="n">
        <f aca="false">MIN(F95,MIN(N($E95)*Paramètres!$C$16,Paramètres!$D$16))+MIN(G95,MIN(N($E95)*Paramètres!$C$17,Paramètres!$D$17))+MIN(H95,MIN(N($E95)*Paramètres!$C$18,Paramètres!$D$18))</f>
        <v>53215</v>
      </c>
      <c r="M95" s="57" t="n">
        <f aca="false">MIN(N($E95),Paramètres!$C$7)*Paramètres!$C$6</f>
        <v>9756.285</v>
      </c>
      <c r="N95" s="57" t="n">
        <f aca="false">MIN(M95,I95*Paramètres!$C$8)</f>
        <v>9756.285</v>
      </c>
      <c r="O95" s="57" t="n">
        <f aca="false">I95*IF(K95="Cadre supérieur",Paramètres!$C$10,Paramètres!$C$9)</f>
        <v>31043</v>
      </c>
      <c r="P95" s="57" t="n">
        <f aca="false">MAX(0,ROUNDDOWN(N($E95)-L95-N95-O95,-2))</f>
        <v>83300</v>
      </c>
      <c r="Q95" s="57" t="n">
        <f aca="false">SUMPRODUCT((P95&gt;Paramètres!$B$21:$B$27)*(P95-Paramètres!$B$21:$B$27)*Paramètres!$E$21:$E$27)</f>
        <v>7108.1</v>
      </c>
      <c r="R95" s="57" t="n">
        <f aca="false">Q95*INDEX(Paramètres!$C$31:$C$38,MIN(MAX(INT(N(J95)),0),7)+1)</f>
        <v>0</v>
      </c>
      <c r="S95" s="60" t="n">
        <f aca="false">ROUND(Q95-R95,0)</f>
        <v>7108</v>
      </c>
      <c r="T95" s="57" t="n">
        <f aca="false">ROUND(N($E95)*Paramètres!$C$13,0)</f>
        <v>5322</v>
      </c>
      <c r="U95" s="57" t="n">
        <f aca="false">ROUND(MAX(0,N($E95)-(Q95-R95)-M95)*Paramètres!$C$12,0)</f>
        <v>1605</v>
      </c>
      <c r="V95" s="60" t="n">
        <f aca="false">ROUND(N($E95)-M95-S95-U95,0)</f>
        <v>158918</v>
      </c>
    </row>
    <row r="96" customFormat="false" ht="17.25" hidden="false" customHeight="true" outlineLevel="0" collapsed="false">
      <c r="B96" s="53" t="n">
        <v>83</v>
      </c>
      <c r="C96" s="54" t="s">
        <v>98</v>
      </c>
      <c r="D96" s="55" t="n">
        <v>45784</v>
      </c>
      <c r="E96" s="56" t="n">
        <f aca="false">'Juill-aout-sept 2026'!F94</f>
        <v>108397</v>
      </c>
      <c r="F96" s="57" t="n">
        <f aca="false">MIN(ROUNDDOWN(N($E96)*Paramètres!$C$16,0),Paramètres!$D$16)</f>
        <v>21679</v>
      </c>
      <c r="G96" s="57" t="n">
        <f aca="false">MIN(ROUNDDOWN(N($E96)*Paramètres!$C$17,0),Paramètres!$D$17)</f>
        <v>5419</v>
      </c>
      <c r="H96" s="57" t="n">
        <f aca="false">MIN(ROUNDDOWN(N($E96)*Paramètres!$C$18,0),Paramètres!$D$18)</f>
        <v>5419</v>
      </c>
      <c r="I96" s="57" t="n">
        <f aca="false">N($E96)-(F96+G96+H96)</f>
        <v>75880</v>
      </c>
      <c r="J96" s="58" t="n">
        <v>0</v>
      </c>
      <c r="K96" s="59" t="str">
        <f aca="false">IF(I96&lt;Paramètres!$C$11,"Cadre inférieur","Cadre supérieur")</f>
        <v>Cadre inférieur</v>
      </c>
      <c r="L96" s="57" t="n">
        <f aca="false">MIN(F96,MIN(N($E96)*Paramètres!$C$16,Paramètres!$D$16))+MIN(G96,MIN(N($E96)*Paramètres!$C$17,Paramètres!$D$17))+MIN(H96,MIN(N($E96)*Paramètres!$C$18,Paramètres!$D$18))</f>
        <v>32517</v>
      </c>
      <c r="M96" s="57" t="n">
        <f aca="false">MIN(N($E96),Paramètres!$C$7)*Paramètres!$C$6</f>
        <v>5961.835</v>
      </c>
      <c r="N96" s="57" t="n">
        <f aca="false">MIN(M96,I96*Paramètres!$C$8)</f>
        <v>5961.835</v>
      </c>
      <c r="O96" s="57" t="n">
        <f aca="false">I96*IF(K96="Cadre supérieur",Paramètres!$C$10,Paramètres!$C$9)</f>
        <v>18970</v>
      </c>
      <c r="P96" s="57" t="n">
        <f aca="false">MAX(0,ROUNDDOWN(N($E96)-L96-N96-O96,-2))</f>
        <v>50900</v>
      </c>
      <c r="Q96" s="57" t="n">
        <f aca="false">SUMPRODUCT((P96&gt;Paramètres!$B$21:$B$27)*(P96-Paramètres!$B$21:$B$27)*Paramètres!$E$21:$E$27)</f>
        <v>2545.1</v>
      </c>
      <c r="R96" s="57" t="n">
        <f aca="false">Q96*INDEX(Paramètres!$C$31:$C$38,MIN(MAX(INT(N(J96)),0),7)+1)</f>
        <v>0</v>
      </c>
      <c r="S96" s="60" t="n">
        <f aca="false">ROUND(Q96-R96,0)</f>
        <v>2545</v>
      </c>
      <c r="T96" s="57" t="n">
        <f aca="false">ROUND(N($E96)*Paramètres!$C$13,0)</f>
        <v>3252</v>
      </c>
      <c r="U96" s="57" t="n">
        <f aca="false">ROUND(MAX(0,N($E96)-(Q96-R96)-M96)*Paramètres!$C$12,0)</f>
        <v>999</v>
      </c>
      <c r="V96" s="60" t="n">
        <f aca="false">ROUND(N($E96)-M96-S96-U96,0)</f>
        <v>98891</v>
      </c>
    </row>
    <row r="97" customFormat="false" ht="17.25" hidden="false" customHeight="true" outlineLevel="0" collapsed="false">
      <c r="B97" s="53" t="n">
        <v>84</v>
      </c>
      <c r="C97" s="54" t="s">
        <v>99</v>
      </c>
      <c r="D97" s="55" t="n">
        <v>46183</v>
      </c>
      <c r="E97" s="56" t="n">
        <f aca="false">'Juill-aout-sept 2026'!F95</f>
        <v>177387</v>
      </c>
      <c r="F97" s="57" t="n">
        <f aca="false">MIN(ROUNDDOWN(N($E97)*Paramètres!$C$16,0),Paramètres!$D$16)</f>
        <v>35477</v>
      </c>
      <c r="G97" s="57" t="n">
        <f aca="false">MIN(ROUNDDOWN(N($E97)*Paramètres!$C$17,0),Paramètres!$D$17)</f>
        <v>8869</v>
      </c>
      <c r="H97" s="57" t="n">
        <f aca="false">MIN(ROUNDDOWN(N($E97)*Paramètres!$C$18,0),Paramètres!$D$18)</f>
        <v>8869</v>
      </c>
      <c r="I97" s="57" t="n">
        <f aca="false">N($E97)-(F97+G97+H97)</f>
        <v>124172</v>
      </c>
      <c r="J97" s="58" t="n">
        <v>0</v>
      </c>
      <c r="K97" s="59" t="str">
        <f aca="false">IF(I97&lt;Paramètres!$C$11,"Cadre inférieur","Cadre supérieur")</f>
        <v>Cadre inférieur</v>
      </c>
      <c r="L97" s="57" t="n">
        <f aca="false">MIN(F97,MIN(N($E97)*Paramètres!$C$16,Paramètres!$D$16))+MIN(G97,MIN(N($E97)*Paramètres!$C$17,Paramètres!$D$17))+MIN(H97,MIN(N($E97)*Paramètres!$C$18,Paramètres!$D$18))</f>
        <v>53215</v>
      </c>
      <c r="M97" s="57" t="n">
        <f aca="false">MIN(N($E97),Paramètres!$C$7)*Paramètres!$C$6</f>
        <v>9756.285</v>
      </c>
      <c r="N97" s="57" t="n">
        <f aca="false">MIN(M97,I97*Paramètres!$C$8)</f>
        <v>9756.285</v>
      </c>
      <c r="O97" s="57" t="n">
        <f aca="false">I97*IF(K97="Cadre supérieur",Paramètres!$C$10,Paramètres!$C$9)</f>
        <v>31043</v>
      </c>
      <c r="P97" s="57" t="n">
        <f aca="false">MAX(0,ROUNDDOWN(N($E97)-L97-N97-O97,-2))</f>
        <v>83300</v>
      </c>
      <c r="Q97" s="57" t="n">
        <f aca="false">SUMPRODUCT((P97&gt;Paramètres!$B$21:$B$27)*(P97-Paramètres!$B$21:$B$27)*Paramètres!$E$21:$E$27)</f>
        <v>7108.1</v>
      </c>
      <c r="R97" s="57" t="n">
        <f aca="false">Q97*INDEX(Paramètres!$C$31:$C$38,MIN(MAX(INT(N(J97)),0),7)+1)</f>
        <v>0</v>
      </c>
      <c r="S97" s="60" t="n">
        <f aca="false">ROUND(Q97-R97,0)</f>
        <v>7108</v>
      </c>
      <c r="T97" s="57" t="n">
        <f aca="false">ROUND(N($E97)*Paramètres!$C$13,0)</f>
        <v>5322</v>
      </c>
      <c r="U97" s="57" t="n">
        <f aca="false">ROUND(MAX(0,N($E97)-(Q97-R97)-M97)*Paramètres!$C$12,0)</f>
        <v>1605</v>
      </c>
      <c r="V97" s="60" t="n">
        <f aca="false">ROUND(N($E97)-M97-S97-U97,0)</f>
        <v>158918</v>
      </c>
    </row>
    <row r="98" customFormat="false" ht="17.25" hidden="false" customHeight="true" outlineLevel="0" collapsed="false">
      <c r="B98" s="53"/>
      <c r="C98" s="54" t="s">
        <v>100</v>
      </c>
      <c r="D98" s="55"/>
      <c r="E98" s="56" t="n">
        <f aca="false">'Juill-aout-sept 2026'!F96</f>
        <v>231913</v>
      </c>
      <c r="F98" s="57" t="n">
        <f aca="false">MIN(ROUNDDOWN(N($E98)*Paramètres!$C$16,0),Paramètres!$D$16)</f>
        <v>46382</v>
      </c>
      <c r="G98" s="57" t="n">
        <f aca="false">MIN(ROUNDDOWN(N($E98)*Paramètres!$C$17,0),Paramètres!$D$17)</f>
        <v>11595</v>
      </c>
      <c r="H98" s="57" t="n">
        <f aca="false">MIN(ROUNDDOWN(N($E98)*Paramètres!$C$18,0),Paramètres!$D$18)</f>
        <v>11595</v>
      </c>
      <c r="I98" s="57" t="n">
        <f aca="false">N($E98)-(F98+G98+H98)</f>
        <v>162341</v>
      </c>
      <c r="J98" s="58" t="n">
        <v>0</v>
      </c>
      <c r="K98" s="59" t="str">
        <f aca="false">IF(I98&lt;Paramètres!$C$11,"Cadre inférieur","Cadre supérieur")</f>
        <v>Cadre supérieur</v>
      </c>
      <c r="L98" s="57" t="n">
        <f aca="false">MIN(F98,MIN(N($E98)*Paramètres!$C$16,Paramètres!$D$16))+MIN(G98,MIN(N($E98)*Paramètres!$C$17,Paramètres!$D$17))+MIN(H98,MIN(N($E98)*Paramètres!$C$18,Paramètres!$D$18))</f>
        <v>69572</v>
      </c>
      <c r="M98" s="57" t="n">
        <f aca="false">MIN(N($E98),Paramètres!$C$7)*Paramètres!$C$6</f>
        <v>12755.215</v>
      </c>
      <c r="N98" s="57" t="n">
        <f aca="false">MIN(M98,I98*Paramètres!$C$8)</f>
        <v>12755.215</v>
      </c>
      <c r="O98" s="57" t="n">
        <f aca="false">I98*IF(K98="Cadre supérieur",Paramètres!$C$10,Paramètres!$C$9)</f>
        <v>32468.2</v>
      </c>
      <c r="P98" s="57" t="n">
        <f aca="false">MAX(0,ROUNDDOWN(N($E98)-L98-N98-O98,-2))</f>
        <v>117100</v>
      </c>
      <c r="Q98" s="57" t="n">
        <f aca="false">SUMPRODUCT((P98&gt;Paramètres!$B$21:$B$27)*(P98-Paramètres!$B$21:$B$27)*Paramètres!$E$21:$E$27)</f>
        <v>12414.7</v>
      </c>
      <c r="R98" s="57" t="n">
        <f aca="false">Q98*INDEX(Paramètres!$C$31:$C$38,MIN(MAX(INT(N(J98)),0),7)+1)</f>
        <v>0</v>
      </c>
      <c r="S98" s="60" t="n">
        <f aca="false">ROUND(Q98-R98,0)</f>
        <v>12415</v>
      </c>
      <c r="T98" s="57" t="n">
        <f aca="false">ROUND(N($E98)*Paramètres!$C$13,0)</f>
        <v>6957</v>
      </c>
      <c r="U98" s="57" t="n">
        <f aca="false">ROUND(MAX(0,N($E98)-(Q98-R98)-M98)*Paramètres!$C$12,0)</f>
        <v>2067</v>
      </c>
      <c r="V98" s="60" t="n">
        <f aca="false">ROUND(N($E98)-M98-S98-U98,0)</f>
        <v>204676</v>
      </c>
    </row>
    <row r="99" customFormat="false" ht="17.25" hidden="false" customHeight="true" outlineLevel="0" collapsed="false">
      <c r="B99" s="53" t="n">
        <v>85</v>
      </c>
      <c r="C99" s="54" t="s">
        <v>101</v>
      </c>
      <c r="D99" s="55" t="n">
        <v>45778</v>
      </c>
      <c r="E99" s="56" t="n">
        <f aca="false">'Juill-aout-sept 2026'!F97</f>
        <v>0</v>
      </c>
      <c r="F99" s="57" t="n">
        <f aca="false">MIN(ROUNDDOWN(N($E99)*Paramètres!$C$16,0),Paramètres!$D$16)</f>
        <v>0</v>
      </c>
      <c r="G99" s="57" t="n">
        <f aca="false">MIN(ROUNDDOWN(N($E99)*Paramètres!$C$17,0),Paramètres!$D$17)</f>
        <v>0</v>
      </c>
      <c r="H99" s="57" t="n">
        <f aca="false">MIN(ROUNDDOWN(N($E99)*Paramètres!$C$18,0),Paramètres!$D$18)</f>
        <v>0</v>
      </c>
      <c r="I99" s="57" t="n">
        <f aca="false">N($E99)-(F99+G99+H99)</f>
        <v>0</v>
      </c>
      <c r="J99" s="58" t="n">
        <v>0</v>
      </c>
      <c r="K99" s="59" t="str">
        <f aca="false">IF(I99&lt;Paramètres!$C$11,"Cadre inférieur","Cadre supérieur")</f>
        <v>Cadre inférieur</v>
      </c>
      <c r="L99" s="57" t="n">
        <f aca="false">MIN(F99,MIN(N($E99)*Paramètres!$C$16,Paramètres!$D$16))+MIN(G99,MIN(N($E99)*Paramètres!$C$17,Paramètres!$D$17))+MIN(H99,MIN(N($E99)*Paramètres!$C$18,Paramètres!$D$18))</f>
        <v>0</v>
      </c>
      <c r="M99" s="57" t="n">
        <f aca="false">MIN(N($E99),Paramètres!$C$7)*Paramètres!$C$6</f>
        <v>0</v>
      </c>
      <c r="N99" s="57" t="n">
        <f aca="false">MIN(M99,I99*Paramètres!$C$8)</f>
        <v>0</v>
      </c>
      <c r="O99" s="57" t="n">
        <f aca="false">I99*IF(K99="Cadre supérieur",Paramètres!$C$10,Paramètres!$C$9)</f>
        <v>0</v>
      </c>
      <c r="P99" s="57" t="n">
        <f aca="false">MAX(0,ROUNDDOWN(N($E99)-L99-N99-O99,-2))</f>
        <v>0</v>
      </c>
      <c r="Q99" s="57" t="n">
        <f aca="false">SUMPRODUCT((P99&gt;Paramètres!$B$21:$B$27)*(P99-Paramètres!$B$21:$B$27)*Paramètres!$E$21:$E$27)</f>
        <v>0</v>
      </c>
      <c r="R99" s="57" t="n">
        <f aca="false">Q99*INDEX(Paramètres!$C$31:$C$38,MIN(MAX(INT(N(J99)),0),7)+1)</f>
        <v>0</v>
      </c>
      <c r="S99" s="60" t="n">
        <f aca="false">ROUND(Q99-R99,0)</f>
        <v>0</v>
      </c>
      <c r="T99" s="57" t="n">
        <f aca="false">ROUND(N($E99)*Paramètres!$C$13,0)</f>
        <v>0</v>
      </c>
      <c r="U99" s="57" t="n">
        <f aca="false">ROUND(MAX(0,N($E99)-(Q99-R99)-M99)*Paramètres!$C$12,0)</f>
        <v>0</v>
      </c>
      <c r="V99" s="60" t="n">
        <f aca="false">ROUND(N($E99)-M99-S99-U99,0)</f>
        <v>0</v>
      </c>
    </row>
    <row r="100" customFormat="false" ht="21.75" hidden="false" customHeight="true" outlineLevel="0" collapsed="false">
      <c r="B100" s="61" t="s">
        <v>15</v>
      </c>
      <c r="C100" s="61"/>
      <c r="D100" s="61"/>
      <c r="E100" s="62" t="n">
        <f aca="false">SUM(E7:E99)</f>
        <v>16646388</v>
      </c>
      <c r="F100" s="62" t="n">
        <f aca="false">SUM(F7:F99)</f>
        <v>3164069</v>
      </c>
      <c r="G100" s="62" t="n">
        <f aca="false">SUM(G7:G99)</f>
        <v>816949</v>
      </c>
      <c r="H100" s="62" t="n">
        <f aca="false">SUM(H7:H99)</f>
        <v>830290</v>
      </c>
      <c r="I100" s="62" t="n">
        <f aca="false">SUM(I7:I99)</f>
        <v>11835080</v>
      </c>
      <c r="L100" s="62" t="n">
        <f aca="false">SUM(L7:L99)</f>
        <v>4811308</v>
      </c>
      <c r="M100" s="62" t="n">
        <f aca="false">SUM(M7:M99)</f>
        <v>911875.69</v>
      </c>
      <c r="N100" s="62" t="n">
        <f aca="false">SUM(N7:N99)</f>
        <v>911875.69</v>
      </c>
      <c r="O100" s="62" t="n">
        <f aca="false">SUM(O7:O99)</f>
        <v>2761250.5</v>
      </c>
      <c r="P100" s="62" t="n">
        <f aca="false">SUM(P7:P99)</f>
        <v>8157500</v>
      </c>
      <c r="Q100" s="62" t="n">
        <f aca="false">SUM(Q7:Q99)</f>
        <v>865179.8</v>
      </c>
      <c r="R100" s="62" t="n">
        <f aca="false">SUM(R7:R99)</f>
        <v>0</v>
      </c>
      <c r="S100" s="63" t="n">
        <f aca="false">SUM(S7:S99)</f>
        <v>865174</v>
      </c>
      <c r="T100" s="62" t="n">
        <f aca="false">SUM(T7:T99)</f>
        <v>499395</v>
      </c>
      <c r="U100" s="62" t="n">
        <f aca="false">SUM(U7:U99)</f>
        <v>148684</v>
      </c>
      <c r="V100" s="63" t="n">
        <f aca="false">SUM(V7:V99)</f>
        <v>14720659</v>
      </c>
    </row>
    <row r="101" customFormat="false" ht="21.75" hidden="false" customHeight="true" outlineLevel="0" collapsed="false">
      <c r="B101" s="64" t="s">
        <v>125</v>
      </c>
      <c r="C101" s="64"/>
      <c r="D101" s="64"/>
      <c r="E101" s="65" t="n">
        <f aca="false">Juillet!E101+E100</f>
        <v>39339169</v>
      </c>
      <c r="S101" s="66" t="n">
        <f aca="false">Juillet!S101+S100</f>
        <v>2082830</v>
      </c>
      <c r="T101" s="65" t="n">
        <f aca="false">Juillet!T101+T100</f>
        <v>1180173</v>
      </c>
      <c r="U101" s="65" t="n">
        <f aca="false">Juillet!U101+U100</f>
        <v>350984</v>
      </c>
      <c r="V101" s="66" t="n">
        <f aca="false">Juillet!V101+V100</f>
        <v>34749058</v>
      </c>
    </row>
    <row r="103" customFormat="false" ht="15" hidden="false" customHeight="false" outlineLevel="0" collapsed="false">
      <c r="C103" s="67" t="s">
        <v>126</v>
      </c>
    </row>
    <row r="104" customFormat="false" ht="15" hidden="false" customHeight="false" outlineLevel="0" collapsed="false">
      <c r="C104" s="68" t="s">
        <v>127</v>
      </c>
    </row>
    <row r="105" customFormat="false" ht="15" hidden="false" customHeight="false" outlineLevel="0" collapsed="false">
      <c r="C105" s="68" t="s">
        <v>128</v>
      </c>
    </row>
    <row r="106" customFormat="false" ht="15" hidden="false" customHeight="false" outlineLevel="0" collapsed="false">
      <c r="C106" s="68" t="s">
        <v>129</v>
      </c>
    </row>
    <row r="107" customFormat="false" ht="15" hidden="false" customHeight="false" outlineLevel="0" collapsed="false">
      <c r="C107" s="68" t="s">
        <v>130</v>
      </c>
    </row>
    <row r="108" customFormat="false" ht="15" hidden="false" customHeight="false" outlineLevel="0" collapsed="false">
      <c r="C108" s="68" t="s">
        <v>131</v>
      </c>
    </row>
    <row r="109" customFormat="false" ht="15" hidden="false" customHeight="false" outlineLevel="0" collapsed="false">
      <c r="C109" s="68" t="s">
        <v>146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00:D100"/>
    <mergeCell ref="B101:D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V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9" min="5" style="0" width="13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8" min="12" style="0" width="13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4" customFormat="false" ht="21.75" hidden="false" customHeight="true" outlineLevel="0" collapsed="false">
      <c r="B4" s="46" t="s">
        <v>0</v>
      </c>
      <c r="C4" s="46"/>
      <c r="D4" s="46"/>
      <c r="E4" s="46"/>
    </row>
    <row r="5" customFormat="false" ht="21.75" hidden="false" customHeight="true" outlineLevel="0" collapsed="false">
      <c r="B5" s="47" t="s">
        <v>1</v>
      </c>
      <c r="C5" s="47"/>
      <c r="D5" s="47" t="s">
        <v>147</v>
      </c>
      <c r="E5" s="47"/>
      <c r="F5" s="48" t="s">
        <v>103</v>
      </c>
      <c r="G5" s="48"/>
      <c r="H5" s="48"/>
      <c r="I5" s="48"/>
      <c r="J5" s="49" t="s">
        <v>104</v>
      </c>
      <c r="K5" s="49"/>
      <c r="L5" s="50" t="s">
        <v>105</v>
      </c>
      <c r="M5" s="50"/>
      <c r="N5" s="50"/>
      <c r="O5" s="50"/>
      <c r="P5" s="50"/>
      <c r="Q5" s="50"/>
      <c r="R5" s="50"/>
      <c r="S5" s="50"/>
      <c r="T5" s="51" t="s">
        <v>106</v>
      </c>
      <c r="U5" s="51"/>
      <c r="V5" s="51"/>
    </row>
    <row r="6" customFormat="false" ht="30" hidden="false" customHeight="true" outlineLevel="0" collapsed="false">
      <c r="B6" s="52" t="s">
        <v>3</v>
      </c>
      <c r="C6" s="52" t="s">
        <v>4</v>
      </c>
      <c r="D6" s="52" t="s">
        <v>5</v>
      </c>
      <c r="E6" s="52" t="s">
        <v>148</v>
      </c>
      <c r="F6" s="52" t="s">
        <v>108</v>
      </c>
      <c r="G6" s="52" t="s">
        <v>109</v>
      </c>
      <c r="H6" s="52" t="s">
        <v>110</v>
      </c>
      <c r="I6" s="52" t="s">
        <v>111</v>
      </c>
      <c r="J6" s="52" t="s">
        <v>112</v>
      </c>
      <c r="K6" s="52" t="s">
        <v>113</v>
      </c>
      <c r="L6" s="52" t="s">
        <v>114</v>
      </c>
      <c r="M6" s="52" t="s">
        <v>115</v>
      </c>
      <c r="N6" s="52" t="s">
        <v>116</v>
      </c>
      <c r="O6" s="52" t="s">
        <v>117</v>
      </c>
      <c r="P6" s="52" t="s">
        <v>118</v>
      </c>
      <c r="Q6" s="52" t="s">
        <v>119</v>
      </c>
      <c r="R6" s="52" t="s">
        <v>120</v>
      </c>
      <c r="S6" s="52" t="s">
        <v>121</v>
      </c>
      <c r="T6" s="52" t="s">
        <v>122</v>
      </c>
      <c r="U6" s="52" t="s">
        <v>123</v>
      </c>
      <c r="V6" s="52" t="s">
        <v>124</v>
      </c>
    </row>
    <row r="7" customFormat="false" ht="17.25" hidden="false" customHeight="true" outlineLevel="0" collapsed="false">
      <c r="B7" s="53" t="n">
        <v>1</v>
      </c>
      <c r="C7" s="54" t="s">
        <v>17</v>
      </c>
      <c r="D7" s="55" t="n">
        <v>46242</v>
      </c>
      <c r="E7" s="56" t="n">
        <f aca="false">'Juill-aout-sept 2026'!G5</f>
        <v>80000</v>
      </c>
      <c r="F7" s="57" t="n">
        <f aca="false">MIN(ROUNDDOWN(N($E7)*Paramètres!$C$16,0),Paramètres!$D$16)</f>
        <v>16000</v>
      </c>
      <c r="G7" s="57" t="n">
        <f aca="false">MIN(ROUNDDOWN(N($E7)*Paramètres!$C$17,0),Paramètres!$D$17)</f>
        <v>4000</v>
      </c>
      <c r="H7" s="57" t="n">
        <f aca="false">MIN(ROUNDDOWN(N($E7)*Paramètres!$C$18,0),Paramètres!$D$18)</f>
        <v>4000</v>
      </c>
      <c r="I7" s="57" t="n">
        <f aca="false">N($E7)-(F7+G7+H7)</f>
        <v>56000</v>
      </c>
      <c r="J7" s="58" t="n">
        <v>0</v>
      </c>
      <c r="K7" s="59" t="str">
        <f aca="false">IF(I7&lt;Paramètres!$C$11,"Cadre inférieur","Cadre supérieur")</f>
        <v>Cadre inférieur</v>
      </c>
      <c r="L7" s="57" t="n">
        <f aca="false">MIN(F7,MIN(N($E7)*Paramètres!$C$16,Paramètres!$D$16))+MIN(G7,MIN(N($E7)*Paramètres!$C$17,Paramètres!$D$17))+MIN(H7,MIN(N($E7)*Paramètres!$C$18,Paramètres!$D$18))</f>
        <v>24000</v>
      </c>
      <c r="M7" s="57" t="n">
        <f aca="false">MIN(N($E7),Paramètres!$C$7)*Paramètres!$C$6</f>
        <v>4400</v>
      </c>
      <c r="N7" s="57" t="n">
        <f aca="false">MIN(M7,I7*Paramètres!$C$8)</f>
        <v>4400</v>
      </c>
      <c r="O7" s="57" t="n">
        <f aca="false">I7*IF(K7="Cadre supérieur",Paramètres!$C$10,Paramètres!$C$9)</f>
        <v>14000</v>
      </c>
      <c r="P7" s="57" t="n">
        <f aca="false">MAX(0,ROUNDDOWN(N($E7)-L7-N7-O7,-2))</f>
        <v>37600</v>
      </c>
      <c r="Q7" s="57" t="n">
        <f aca="false">SUMPRODUCT((P7&gt;Paramètres!$B$21:$B$27)*(P7-Paramètres!$B$21:$B$27)*Paramètres!$E$21:$E$27)</f>
        <v>919.6</v>
      </c>
      <c r="R7" s="57" t="n">
        <f aca="false">Q7*INDEX(Paramètres!$C$31:$C$38,MIN(MAX(INT(N(J7)),0),7)+1)</f>
        <v>0</v>
      </c>
      <c r="S7" s="60" t="n">
        <f aca="false">ROUND(Q7-R7,0)</f>
        <v>920</v>
      </c>
      <c r="T7" s="57" t="n">
        <f aca="false">ROUND(N($E7)*Paramètres!$C$13,0)</f>
        <v>2400</v>
      </c>
      <c r="U7" s="57" t="n">
        <f aca="false">ROUND(MAX(0,N($E7)-(Q7-R7)-M7)*Paramètres!$C$12,0)</f>
        <v>747</v>
      </c>
      <c r="V7" s="60" t="n">
        <f aca="false">ROUND(N($E7)-M7-S7-U7,0)</f>
        <v>73933</v>
      </c>
    </row>
    <row r="8" customFormat="false" ht="17.25" hidden="false" customHeight="true" outlineLevel="0" collapsed="false">
      <c r="B8" s="53" t="n">
        <v>2</v>
      </c>
      <c r="C8" s="54" t="s">
        <v>18</v>
      </c>
      <c r="D8" s="55" t="n">
        <v>46196</v>
      </c>
      <c r="E8" s="56" t="n">
        <f aca="false">'Juill-aout-sept 2026'!G6</f>
        <v>135983</v>
      </c>
      <c r="F8" s="57" t="n">
        <f aca="false">MIN(ROUNDDOWN(N($E8)*Paramètres!$C$16,0),Paramètres!$D$16)</f>
        <v>27196</v>
      </c>
      <c r="G8" s="57" t="n">
        <f aca="false">MIN(ROUNDDOWN(N($E8)*Paramètres!$C$17,0),Paramètres!$D$17)</f>
        <v>6799</v>
      </c>
      <c r="H8" s="57" t="n">
        <f aca="false">MIN(ROUNDDOWN(N($E8)*Paramètres!$C$18,0),Paramètres!$D$18)</f>
        <v>6799</v>
      </c>
      <c r="I8" s="57" t="n">
        <f aca="false">N($E8)-(F8+G8+H8)</f>
        <v>95189</v>
      </c>
      <c r="J8" s="58" t="n">
        <v>0</v>
      </c>
      <c r="K8" s="59" t="str">
        <f aca="false">IF(I8&lt;Paramètres!$C$11,"Cadre inférieur","Cadre supérieur")</f>
        <v>Cadre inférieur</v>
      </c>
      <c r="L8" s="57" t="n">
        <f aca="false">MIN(F8,MIN(N($E8)*Paramètres!$C$16,Paramètres!$D$16))+MIN(G8,MIN(N($E8)*Paramètres!$C$17,Paramètres!$D$17))+MIN(H8,MIN(N($E8)*Paramètres!$C$18,Paramètres!$D$18))</f>
        <v>40794</v>
      </c>
      <c r="M8" s="57" t="n">
        <f aca="false">MIN(N($E8),Paramètres!$C$7)*Paramètres!$C$6</f>
        <v>7479.065</v>
      </c>
      <c r="N8" s="57" t="n">
        <f aca="false">MIN(M8,I8*Paramètres!$C$8)</f>
        <v>7479.065</v>
      </c>
      <c r="O8" s="57" t="n">
        <f aca="false">I8*IF(K8="Cadre supérieur",Paramètres!$C$10,Paramètres!$C$9)</f>
        <v>23797.25</v>
      </c>
      <c r="P8" s="57" t="n">
        <f aca="false">MAX(0,ROUNDDOWN(N($E8)-L8-N8-O8,-2))</f>
        <v>63900</v>
      </c>
      <c r="Q8" s="57" t="n">
        <f aca="false">SUMPRODUCT((P8&gt;Paramètres!$B$21:$B$27)*(P8-Paramètres!$B$21:$B$27)*Paramètres!$E$21:$E$27)</f>
        <v>4352.1</v>
      </c>
      <c r="R8" s="57" t="n">
        <f aca="false">Q8*INDEX(Paramètres!$C$31:$C$38,MIN(MAX(INT(N(J8)),0),7)+1)</f>
        <v>0</v>
      </c>
      <c r="S8" s="60" t="n">
        <f aca="false">ROUND(Q8-R8,0)</f>
        <v>4352</v>
      </c>
      <c r="T8" s="57" t="n">
        <f aca="false">ROUND(N($E8)*Paramètres!$C$13,0)</f>
        <v>4079</v>
      </c>
      <c r="U8" s="57" t="n">
        <f aca="false">ROUND(MAX(0,N($E8)-(Q8-R8)-M8)*Paramètres!$C$12,0)</f>
        <v>1242</v>
      </c>
      <c r="V8" s="60" t="n">
        <f aca="false">ROUND(N($E8)-M8-S8-U8,0)</f>
        <v>122910</v>
      </c>
    </row>
    <row r="9" customFormat="false" ht="17.25" hidden="false" customHeight="true" outlineLevel="0" collapsed="false">
      <c r="B9" s="53" t="n">
        <v>3</v>
      </c>
      <c r="C9" s="54" t="s">
        <v>19</v>
      </c>
      <c r="D9" s="55" t="n">
        <v>46000</v>
      </c>
      <c r="E9" s="56" t="n">
        <f aca="false">'Juill-aout-sept 2026'!G7</f>
        <v>177387</v>
      </c>
      <c r="F9" s="57" t="n">
        <f aca="false">MIN(ROUNDDOWN(N($E9)*Paramètres!$C$16,0),Paramètres!$D$16)</f>
        <v>35477</v>
      </c>
      <c r="G9" s="57" t="n">
        <f aca="false">MIN(ROUNDDOWN(N($E9)*Paramètres!$C$17,0),Paramètres!$D$17)</f>
        <v>8869</v>
      </c>
      <c r="H9" s="57" t="n">
        <f aca="false">MIN(ROUNDDOWN(N($E9)*Paramètres!$C$18,0),Paramètres!$D$18)</f>
        <v>8869</v>
      </c>
      <c r="I9" s="57" t="n">
        <f aca="false">N($E9)-(F9+G9+H9)</f>
        <v>124172</v>
      </c>
      <c r="J9" s="58" t="n">
        <v>0</v>
      </c>
      <c r="K9" s="59" t="str">
        <f aca="false">IF(I9&lt;Paramètres!$C$11,"Cadre inférieur","Cadre supérieur")</f>
        <v>Cadre inférieur</v>
      </c>
      <c r="L9" s="57" t="n">
        <f aca="false">MIN(F9,MIN(N($E9)*Paramètres!$C$16,Paramètres!$D$16))+MIN(G9,MIN(N($E9)*Paramètres!$C$17,Paramètres!$D$17))+MIN(H9,MIN(N($E9)*Paramètres!$C$18,Paramètres!$D$18))</f>
        <v>53215</v>
      </c>
      <c r="M9" s="57" t="n">
        <f aca="false">MIN(N($E9),Paramètres!$C$7)*Paramètres!$C$6</f>
        <v>9756.285</v>
      </c>
      <c r="N9" s="57" t="n">
        <f aca="false">MIN(M9,I9*Paramètres!$C$8)</f>
        <v>9756.285</v>
      </c>
      <c r="O9" s="57" t="n">
        <f aca="false">I9*IF(K9="Cadre supérieur",Paramètres!$C$10,Paramètres!$C$9)</f>
        <v>31043</v>
      </c>
      <c r="P9" s="57" t="n">
        <f aca="false">MAX(0,ROUNDDOWN(N($E9)-L9-N9-O9,-2))</f>
        <v>83300</v>
      </c>
      <c r="Q9" s="57" t="n">
        <f aca="false">SUMPRODUCT((P9&gt;Paramètres!$B$21:$B$27)*(P9-Paramètres!$B$21:$B$27)*Paramètres!$E$21:$E$27)</f>
        <v>7108.1</v>
      </c>
      <c r="R9" s="57" t="n">
        <f aca="false">Q9*INDEX(Paramètres!$C$31:$C$38,MIN(MAX(INT(N(J9)),0),7)+1)</f>
        <v>0</v>
      </c>
      <c r="S9" s="60" t="n">
        <f aca="false">ROUND(Q9-R9,0)</f>
        <v>7108</v>
      </c>
      <c r="T9" s="57" t="n">
        <f aca="false">ROUND(N($E9)*Paramètres!$C$13,0)</f>
        <v>5322</v>
      </c>
      <c r="U9" s="57" t="n">
        <f aca="false">ROUND(MAX(0,N($E9)-(Q9-R9)-M9)*Paramètres!$C$12,0)</f>
        <v>1605</v>
      </c>
      <c r="V9" s="60" t="n">
        <f aca="false">ROUND(N($E9)-M9-S9-U9,0)</f>
        <v>158918</v>
      </c>
    </row>
    <row r="10" customFormat="false" ht="17.25" hidden="false" customHeight="true" outlineLevel="0" collapsed="false">
      <c r="B10" s="53" t="n">
        <v>4</v>
      </c>
      <c r="C10" s="54" t="s">
        <v>12</v>
      </c>
      <c r="D10" s="55" t="n">
        <v>45677</v>
      </c>
      <c r="E10" s="56" t="n">
        <f aca="false">'Juill-aout-sept 2026'!G8</f>
        <v>346515</v>
      </c>
      <c r="F10" s="57" t="n">
        <f aca="false">MIN(ROUNDDOWN(N($E10)*Paramètres!$C$16,0),Paramètres!$D$16)</f>
        <v>69303</v>
      </c>
      <c r="G10" s="57" t="n">
        <f aca="false">MIN(ROUNDDOWN(N($E10)*Paramètres!$C$17,0),Paramètres!$D$17)</f>
        <v>17325</v>
      </c>
      <c r="H10" s="57" t="n">
        <f aca="false">MIN(ROUNDDOWN(N($E10)*Paramètres!$C$18,0),Paramètres!$D$18)</f>
        <v>17325</v>
      </c>
      <c r="I10" s="57" t="n">
        <f aca="false">N($E10)-(F10+G10+H10)</f>
        <v>242562</v>
      </c>
      <c r="J10" s="58" t="n">
        <v>0</v>
      </c>
      <c r="K10" s="59" t="str">
        <f aca="false">IF(I10&lt;Paramètres!$C$11,"Cadre inférieur","Cadre supérieur")</f>
        <v>Cadre supérieur</v>
      </c>
      <c r="L10" s="57" t="n">
        <f aca="false">MIN(F10,MIN(N($E10)*Paramètres!$C$16,Paramètres!$D$16))+MIN(G10,MIN(N($E10)*Paramètres!$C$17,Paramètres!$D$17))+MIN(H10,MIN(N($E10)*Paramètres!$C$18,Paramètres!$D$18))</f>
        <v>103953</v>
      </c>
      <c r="M10" s="57" t="n">
        <f aca="false">MIN(N($E10),Paramètres!$C$7)*Paramètres!$C$6</f>
        <v>19058.325</v>
      </c>
      <c r="N10" s="57" t="n">
        <f aca="false">MIN(M10,I10*Paramètres!$C$8)</f>
        <v>19058.325</v>
      </c>
      <c r="O10" s="57" t="n">
        <f aca="false">I10*IF(K10="Cadre supérieur",Paramètres!$C$10,Paramètres!$C$9)</f>
        <v>48512.4</v>
      </c>
      <c r="P10" s="57" t="n">
        <f aca="false">MAX(0,ROUNDDOWN(N($E10)-L10-N10-O10,-2))</f>
        <v>174900</v>
      </c>
      <c r="Q10" s="57" t="n">
        <f aca="false">SUMPRODUCT((P10&gt;Paramètres!$B$21:$B$27)*(P10-Paramètres!$B$21:$B$27)*Paramètres!$E$21:$E$27)</f>
        <v>23133.3</v>
      </c>
      <c r="R10" s="57" t="n">
        <f aca="false">Q10*INDEX(Paramètres!$C$31:$C$38,MIN(MAX(INT(N(J10)),0),7)+1)</f>
        <v>0</v>
      </c>
      <c r="S10" s="60" t="n">
        <f aca="false">ROUND(Q10-R10,0)</f>
        <v>23133</v>
      </c>
      <c r="T10" s="57" t="n">
        <f aca="false">ROUND(N($E10)*Paramètres!$C$13,0)</f>
        <v>10395</v>
      </c>
      <c r="U10" s="57" t="n">
        <f aca="false">ROUND(MAX(0,N($E10)-(Q10-R10)-M10)*Paramètres!$C$12,0)</f>
        <v>3043</v>
      </c>
      <c r="V10" s="60" t="n">
        <f aca="false">ROUND(N($E10)-M10-S10-U10,0)</f>
        <v>301281</v>
      </c>
    </row>
    <row r="11" customFormat="false" ht="17.25" hidden="false" customHeight="true" outlineLevel="0" collapsed="false">
      <c r="B11" s="53" t="n">
        <v>5</v>
      </c>
      <c r="C11" s="54" t="s">
        <v>20</v>
      </c>
      <c r="D11" s="55" t="n">
        <v>46023</v>
      </c>
      <c r="E11" s="56" t="n">
        <f aca="false">'Juill-aout-sept 2026'!G9</f>
        <v>165340</v>
      </c>
      <c r="F11" s="57" t="n">
        <f aca="false">MIN(ROUNDDOWN(N($E11)*Paramètres!$C$16,0),Paramètres!$D$16)</f>
        <v>33068</v>
      </c>
      <c r="G11" s="57" t="n">
        <f aca="false">MIN(ROUNDDOWN(N($E11)*Paramètres!$C$17,0),Paramètres!$D$17)</f>
        <v>8267</v>
      </c>
      <c r="H11" s="57" t="n">
        <f aca="false">MIN(ROUNDDOWN(N($E11)*Paramètres!$C$18,0),Paramètres!$D$18)</f>
        <v>8267</v>
      </c>
      <c r="I11" s="57" t="n">
        <f aca="false">N($E11)-(F11+G11+H11)</f>
        <v>115738</v>
      </c>
      <c r="J11" s="58" t="n">
        <v>0</v>
      </c>
      <c r="K11" s="59" t="str">
        <f aca="false">IF(I11&lt;Paramètres!$C$11,"Cadre inférieur","Cadre supérieur")</f>
        <v>Cadre inférieur</v>
      </c>
      <c r="L11" s="57" t="n">
        <f aca="false">MIN(F11,MIN(N($E11)*Paramètres!$C$16,Paramètres!$D$16))+MIN(G11,MIN(N($E11)*Paramètres!$C$17,Paramètres!$D$17))+MIN(H11,MIN(N($E11)*Paramètres!$C$18,Paramètres!$D$18))</f>
        <v>49602</v>
      </c>
      <c r="M11" s="57" t="n">
        <f aca="false">MIN(N($E11),Paramètres!$C$7)*Paramètres!$C$6</f>
        <v>9093.7</v>
      </c>
      <c r="N11" s="57" t="n">
        <f aca="false">MIN(M11,I11*Paramètres!$C$8)</f>
        <v>9093.7</v>
      </c>
      <c r="O11" s="57" t="n">
        <f aca="false">I11*IF(K11="Cadre supérieur",Paramètres!$C$10,Paramètres!$C$9)</f>
        <v>28934.5</v>
      </c>
      <c r="P11" s="57" t="n">
        <f aca="false">MAX(0,ROUNDDOWN(N($E11)-L11-N11-O11,-2))</f>
        <v>77700</v>
      </c>
      <c r="Q11" s="57" t="n">
        <f aca="false">SUMPRODUCT((P11&gt;Paramètres!$B$21:$B$27)*(P11-Paramètres!$B$21:$B$27)*Paramètres!$E$21:$E$27)</f>
        <v>6270.3</v>
      </c>
      <c r="R11" s="57" t="n">
        <f aca="false">Q11*INDEX(Paramètres!$C$31:$C$38,MIN(MAX(INT(N(J11)),0),7)+1)</f>
        <v>0</v>
      </c>
      <c r="S11" s="60" t="n">
        <f aca="false">ROUND(Q11-R11,0)</f>
        <v>6270</v>
      </c>
      <c r="T11" s="57" t="n">
        <f aca="false">ROUND(N($E11)*Paramètres!$C$13,0)</f>
        <v>4960</v>
      </c>
      <c r="U11" s="57" t="n">
        <f aca="false">ROUND(MAX(0,N($E11)-(Q11-R11)-M11)*Paramètres!$C$12,0)</f>
        <v>1500</v>
      </c>
      <c r="V11" s="60" t="n">
        <f aca="false">ROUND(N($E11)-M11-S11-U11,0)</f>
        <v>148476</v>
      </c>
    </row>
    <row r="12" customFormat="false" ht="17.25" hidden="false" customHeight="true" outlineLevel="0" collapsed="false">
      <c r="B12" s="53" t="n">
        <v>6</v>
      </c>
      <c r="C12" s="54" t="s">
        <v>21</v>
      </c>
      <c r="D12" s="55" t="n">
        <v>46217</v>
      </c>
      <c r="E12" s="56" t="n">
        <f aca="false">'Juill-aout-sept 2026'!G10</f>
        <v>177387</v>
      </c>
      <c r="F12" s="57" t="n">
        <f aca="false">MIN(ROUNDDOWN(N($E12)*Paramètres!$C$16,0),Paramètres!$D$16)</f>
        <v>35477</v>
      </c>
      <c r="G12" s="57" t="n">
        <f aca="false">MIN(ROUNDDOWN(N($E12)*Paramètres!$C$17,0),Paramètres!$D$17)</f>
        <v>8869</v>
      </c>
      <c r="H12" s="57" t="n">
        <f aca="false">MIN(ROUNDDOWN(N($E12)*Paramètres!$C$18,0),Paramètres!$D$18)</f>
        <v>8869</v>
      </c>
      <c r="I12" s="57" t="n">
        <f aca="false">N($E12)-(F12+G12+H12)</f>
        <v>124172</v>
      </c>
      <c r="J12" s="58" t="n">
        <v>0</v>
      </c>
      <c r="K12" s="59" t="str">
        <f aca="false">IF(I12&lt;Paramètres!$C$11,"Cadre inférieur","Cadre supérieur")</f>
        <v>Cadre inférieur</v>
      </c>
      <c r="L12" s="57" t="n">
        <f aca="false">MIN(F12,MIN(N($E12)*Paramètres!$C$16,Paramètres!$D$16))+MIN(G12,MIN(N($E12)*Paramètres!$C$17,Paramètres!$D$17))+MIN(H12,MIN(N($E12)*Paramètres!$C$18,Paramètres!$D$18))</f>
        <v>53215</v>
      </c>
      <c r="M12" s="57" t="n">
        <f aca="false">MIN(N($E12),Paramètres!$C$7)*Paramètres!$C$6</f>
        <v>9756.285</v>
      </c>
      <c r="N12" s="57" t="n">
        <f aca="false">MIN(M12,I12*Paramètres!$C$8)</f>
        <v>9756.285</v>
      </c>
      <c r="O12" s="57" t="n">
        <f aca="false">I12*IF(K12="Cadre supérieur",Paramètres!$C$10,Paramètres!$C$9)</f>
        <v>31043</v>
      </c>
      <c r="P12" s="57" t="n">
        <f aca="false">MAX(0,ROUNDDOWN(N($E12)-L12-N12-O12,-2))</f>
        <v>83300</v>
      </c>
      <c r="Q12" s="57" t="n">
        <f aca="false">SUMPRODUCT((P12&gt;Paramètres!$B$21:$B$27)*(P12-Paramètres!$B$21:$B$27)*Paramètres!$E$21:$E$27)</f>
        <v>7108.1</v>
      </c>
      <c r="R12" s="57" t="n">
        <f aca="false">Q12*INDEX(Paramètres!$C$31:$C$38,MIN(MAX(INT(N(J12)),0),7)+1)</f>
        <v>0</v>
      </c>
      <c r="S12" s="60" t="n">
        <f aca="false">ROUND(Q12-R12,0)</f>
        <v>7108</v>
      </c>
      <c r="T12" s="57" t="n">
        <f aca="false">ROUND(N($E12)*Paramètres!$C$13,0)</f>
        <v>5322</v>
      </c>
      <c r="U12" s="57" t="n">
        <f aca="false">ROUND(MAX(0,N($E12)-(Q12-R12)-M12)*Paramètres!$C$12,0)</f>
        <v>1605</v>
      </c>
      <c r="V12" s="60" t="n">
        <f aca="false">ROUND(N($E12)-M12-S12-U12,0)</f>
        <v>158918</v>
      </c>
    </row>
    <row r="13" customFormat="false" ht="17.25" hidden="false" customHeight="true" outlineLevel="0" collapsed="false">
      <c r="B13" s="53" t="n">
        <v>7</v>
      </c>
      <c r="C13" s="54" t="s">
        <v>22</v>
      </c>
      <c r="D13" s="55" t="n">
        <v>46174</v>
      </c>
      <c r="E13" s="56" t="n">
        <f aca="false">'Juill-aout-sept 2026'!G11</f>
        <v>195484</v>
      </c>
      <c r="F13" s="57" t="n">
        <f aca="false">MIN(ROUNDDOWN(N($E13)*Paramètres!$C$16,0),Paramètres!$D$16)</f>
        <v>39096</v>
      </c>
      <c r="G13" s="57" t="n">
        <f aca="false">MIN(ROUNDDOWN(N($E13)*Paramètres!$C$17,0),Paramètres!$D$17)</f>
        <v>9774</v>
      </c>
      <c r="H13" s="57" t="n">
        <f aca="false">MIN(ROUNDDOWN(N($E13)*Paramètres!$C$18,0),Paramètres!$D$18)</f>
        <v>9774</v>
      </c>
      <c r="I13" s="57" t="n">
        <f aca="false">N($E13)-(F13+G13+H13)</f>
        <v>136840</v>
      </c>
      <c r="J13" s="58" t="n">
        <v>0</v>
      </c>
      <c r="K13" s="59" t="str">
        <f aca="false">IF(I13&lt;Paramètres!$C$11,"Cadre inférieur","Cadre supérieur")</f>
        <v>Cadre inférieur</v>
      </c>
      <c r="L13" s="57" t="n">
        <f aca="false">MIN(F13,MIN(N($E13)*Paramètres!$C$16,Paramètres!$D$16))+MIN(G13,MIN(N($E13)*Paramètres!$C$17,Paramètres!$D$17))+MIN(H13,MIN(N($E13)*Paramètres!$C$18,Paramètres!$D$18))</f>
        <v>58644</v>
      </c>
      <c r="M13" s="57" t="n">
        <f aca="false">MIN(N($E13),Paramètres!$C$7)*Paramètres!$C$6</f>
        <v>10751.62</v>
      </c>
      <c r="N13" s="57" t="n">
        <f aca="false">MIN(M13,I13*Paramètres!$C$8)</f>
        <v>10751.62</v>
      </c>
      <c r="O13" s="57" t="n">
        <f aca="false">I13*IF(K13="Cadre supérieur",Paramètres!$C$10,Paramètres!$C$9)</f>
        <v>34210</v>
      </c>
      <c r="P13" s="57" t="n">
        <f aca="false">MAX(0,ROUNDDOWN(N($E13)-L13-N13-O13,-2))</f>
        <v>91800</v>
      </c>
      <c r="Q13" s="57" t="n">
        <f aca="false">SUMPRODUCT((P13&gt;Paramètres!$B$21:$B$27)*(P13-Paramètres!$B$21:$B$27)*Paramètres!$E$21:$E$27)</f>
        <v>8442.6</v>
      </c>
      <c r="R13" s="57" t="n">
        <f aca="false">Q13*INDEX(Paramètres!$C$31:$C$38,MIN(MAX(INT(N(J13)),0),7)+1)</f>
        <v>0</v>
      </c>
      <c r="S13" s="60" t="n">
        <f aca="false">ROUND(Q13-R13,0)</f>
        <v>8443</v>
      </c>
      <c r="T13" s="57" t="n">
        <f aca="false">ROUND(N($E13)*Paramètres!$C$13,0)</f>
        <v>5865</v>
      </c>
      <c r="U13" s="57" t="n">
        <f aca="false">ROUND(MAX(0,N($E13)-(Q13-R13)-M13)*Paramètres!$C$12,0)</f>
        <v>1763</v>
      </c>
      <c r="V13" s="60" t="n">
        <f aca="false">ROUND(N($E13)-M13-S13-U13,0)</f>
        <v>174526</v>
      </c>
    </row>
    <row r="14" customFormat="false" ht="17.25" hidden="false" customHeight="true" outlineLevel="0" collapsed="false">
      <c r="B14" s="53" t="n">
        <v>8</v>
      </c>
      <c r="C14" s="54" t="s">
        <v>23</v>
      </c>
      <c r="D14" s="55" t="n">
        <v>45778</v>
      </c>
      <c r="E14" s="56" t="n">
        <f aca="false">'Juill-aout-sept 2026'!G12</f>
        <v>213566</v>
      </c>
      <c r="F14" s="57" t="n">
        <f aca="false">MIN(ROUNDDOWN(N($E14)*Paramètres!$C$16,0),Paramètres!$D$16)</f>
        <v>42713</v>
      </c>
      <c r="G14" s="57" t="n">
        <f aca="false">MIN(ROUNDDOWN(N($E14)*Paramètres!$C$17,0),Paramètres!$D$17)</f>
        <v>10678</v>
      </c>
      <c r="H14" s="57" t="n">
        <f aca="false">MIN(ROUNDDOWN(N($E14)*Paramètres!$C$18,0),Paramètres!$D$18)</f>
        <v>10678</v>
      </c>
      <c r="I14" s="57" t="n">
        <f aca="false">N($E14)-(F14+G14+H14)</f>
        <v>149497</v>
      </c>
      <c r="J14" s="58" t="n">
        <v>0</v>
      </c>
      <c r="K14" s="59" t="str">
        <f aca="false">IF(I14&lt;Paramètres!$C$11,"Cadre inférieur","Cadre supérieur")</f>
        <v>Cadre inférieur</v>
      </c>
      <c r="L14" s="57" t="n">
        <f aca="false">MIN(F14,MIN(N($E14)*Paramètres!$C$16,Paramètres!$D$16))+MIN(G14,MIN(N($E14)*Paramètres!$C$17,Paramètres!$D$17))+MIN(H14,MIN(N($E14)*Paramètres!$C$18,Paramètres!$D$18))</f>
        <v>64069</v>
      </c>
      <c r="M14" s="57" t="n">
        <f aca="false">MIN(N($E14),Paramètres!$C$7)*Paramètres!$C$6</f>
        <v>11746.13</v>
      </c>
      <c r="N14" s="57" t="n">
        <f aca="false">MIN(M14,I14*Paramètres!$C$8)</f>
        <v>11746.13</v>
      </c>
      <c r="O14" s="57" t="n">
        <f aca="false">I14*IF(K14="Cadre supérieur",Paramètres!$C$10,Paramètres!$C$9)</f>
        <v>37374.25</v>
      </c>
      <c r="P14" s="57" t="n">
        <f aca="false">MAX(0,ROUNDDOWN(N($E14)-L14-N14-O14,-2))</f>
        <v>100300</v>
      </c>
      <c r="Q14" s="57" t="n">
        <f aca="false">SUMPRODUCT((P14&gt;Paramètres!$B$21:$B$27)*(P14-Paramètres!$B$21:$B$27)*Paramètres!$E$21:$E$27)</f>
        <v>9777.1</v>
      </c>
      <c r="R14" s="57" t="n">
        <f aca="false">Q14*INDEX(Paramètres!$C$31:$C$38,MIN(MAX(INT(N(J14)),0),7)+1)</f>
        <v>0</v>
      </c>
      <c r="S14" s="60" t="n">
        <f aca="false">ROUND(Q14-R14,0)</f>
        <v>9777</v>
      </c>
      <c r="T14" s="57" t="n">
        <f aca="false">ROUND(N($E14)*Paramètres!$C$13,0)</f>
        <v>6407</v>
      </c>
      <c r="U14" s="57" t="n">
        <f aca="false">ROUND(MAX(0,N($E14)-(Q14-R14)-M14)*Paramètres!$C$12,0)</f>
        <v>1920</v>
      </c>
      <c r="V14" s="60" t="n">
        <f aca="false">ROUND(N($E14)-M14-S14-U14,0)</f>
        <v>190123</v>
      </c>
    </row>
    <row r="15" customFormat="false" ht="17.25" hidden="false" customHeight="true" outlineLevel="0" collapsed="false">
      <c r="B15" s="53" t="n">
        <v>9</v>
      </c>
      <c r="C15" s="54" t="s">
        <v>24</v>
      </c>
      <c r="D15" s="55" t="n">
        <v>46250</v>
      </c>
      <c r="E15" s="56" t="n">
        <f aca="false">'Juill-aout-sept 2026'!G13</f>
        <v>225778</v>
      </c>
      <c r="F15" s="57" t="n">
        <f aca="false">MIN(ROUNDDOWN(N($E15)*Paramètres!$C$16,0),Paramètres!$D$16)</f>
        <v>45155</v>
      </c>
      <c r="G15" s="57" t="n">
        <f aca="false">MIN(ROUNDDOWN(N($E15)*Paramètres!$C$17,0),Paramètres!$D$17)</f>
        <v>11288</v>
      </c>
      <c r="H15" s="57" t="n">
        <f aca="false">MIN(ROUNDDOWN(N($E15)*Paramètres!$C$18,0),Paramètres!$D$18)</f>
        <v>11288</v>
      </c>
      <c r="I15" s="57" t="n">
        <f aca="false">N($E15)-(F15+G15+H15)</f>
        <v>158047</v>
      </c>
      <c r="J15" s="58" t="n">
        <v>0</v>
      </c>
      <c r="K15" s="59" t="str">
        <f aca="false">IF(I15&lt;Paramètres!$C$11,"Cadre inférieur","Cadre supérieur")</f>
        <v>Cadre supérieur</v>
      </c>
      <c r="L15" s="57" t="n">
        <f aca="false">MIN(F15,MIN(N($E15)*Paramètres!$C$16,Paramètres!$D$16))+MIN(G15,MIN(N($E15)*Paramètres!$C$17,Paramètres!$D$17))+MIN(H15,MIN(N($E15)*Paramètres!$C$18,Paramètres!$D$18))</f>
        <v>67731</v>
      </c>
      <c r="M15" s="57" t="n">
        <f aca="false">MIN(N($E15),Paramètres!$C$7)*Paramètres!$C$6</f>
        <v>12417.79</v>
      </c>
      <c r="N15" s="57" t="n">
        <f aca="false">MIN(M15,I15*Paramètres!$C$8)</f>
        <v>12417.79</v>
      </c>
      <c r="O15" s="57" t="n">
        <f aca="false">I15*IF(K15="Cadre supérieur",Paramètres!$C$10,Paramètres!$C$9)</f>
        <v>31609.4</v>
      </c>
      <c r="P15" s="57" t="n">
        <f aca="false">MAX(0,ROUNDDOWN(N($E15)-L15-N15-O15,-2))</f>
        <v>114000</v>
      </c>
      <c r="Q15" s="57" t="n">
        <f aca="false">SUMPRODUCT((P15&gt;Paramètres!$B$21:$B$27)*(P15-Paramètres!$B$21:$B$27)*Paramètres!$E$21:$E$27)</f>
        <v>11928</v>
      </c>
      <c r="R15" s="57" t="n">
        <f aca="false">Q15*INDEX(Paramètres!$C$31:$C$38,MIN(MAX(INT(N(J15)),0),7)+1)</f>
        <v>0</v>
      </c>
      <c r="S15" s="60" t="n">
        <f aca="false">ROUND(Q15-R15,0)</f>
        <v>11928</v>
      </c>
      <c r="T15" s="57" t="n">
        <f aca="false">ROUND(N($E15)*Paramètres!$C$13,0)</f>
        <v>6773</v>
      </c>
      <c r="U15" s="57" t="n">
        <f aca="false">ROUND(MAX(0,N($E15)-(Q15-R15)-M15)*Paramètres!$C$12,0)</f>
        <v>2014</v>
      </c>
      <c r="V15" s="60" t="n">
        <f aca="false">ROUND(N($E15)-M15-S15-U15,0)</f>
        <v>199418</v>
      </c>
    </row>
    <row r="16" customFormat="false" ht="17.25" hidden="false" customHeight="true" outlineLevel="0" collapsed="false">
      <c r="B16" s="53" t="n">
        <v>10</v>
      </c>
      <c r="C16" s="54" t="s">
        <v>25</v>
      </c>
      <c r="D16" s="55" t="n">
        <v>45778</v>
      </c>
      <c r="E16" s="56" t="n">
        <f aca="false">'Juill-aout-sept 2026'!G14</f>
        <v>213563</v>
      </c>
      <c r="F16" s="57" t="n">
        <f aca="false">MIN(ROUNDDOWN(N($E16)*Paramètres!$C$16,0),Paramètres!$D$16)</f>
        <v>42712</v>
      </c>
      <c r="G16" s="57" t="n">
        <f aca="false">MIN(ROUNDDOWN(N($E16)*Paramètres!$C$17,0),Paramètres!$D$17)</f>
        <v>10678</v>
      </c>
      <c r="H16" s="57" t="n">
        <f aca="false">MIN(ROUNDDOWN(N($E16)*Paramètres!$C$18,0),Paramètres!$D$18)</f>
        <v>10678</v>
      </c>
      <c r="I16" s="57" t="n">
        <f aca="false">N($E16)-(F16+G16+H16)</f>
        <v>149495</v>
      </c>
      <c r="J16" s="58" t="n">
        <v>0</v>
      </c>
      <c r="K16" s="59" t="str">
        <f aca="false">IF(I16&lt;Paramètres!$C$11,"Cadre inférieur","Cadre supérieur")</f>
        <v>Cadre inférieur</v>
      </c>
      <c r="L16" s="57" t="n">
        <f aca="false">MIN(F16,MIN(N($E16)*Paramètres!$C$16,Paramètres!$D$16))+MIN(G16,MIN(N($E16)*Paramètres!$C$17,Paramètres!$D$17))+MIN(H16,MIN(N($E16)*Paramètres!$C$18,Paramètres!$D$18))</f>
        <v>64068</v>
      </c>
      <c r="M16" s="57" t="n">
        <f aca="false">MIN(N($E16),Paramètres!$C$7)*Paramètres!$C$6</f>
        <v>11745.965</v>
      </c>
      <c r="N16" s="57" t="n">
        <f aca="false">MIN(M16,I16*Paramètres!$C$8)</f>
        <v>11745.965</v>
      </c>
      <c r="O16" s="57" t="n">
        <f aca="false">I16*IF(K16="Cadre supérieur",Paramètres!$C$10,Paramètres!$C$9)</f>
        <v>37373.75</v>
      </c>
      <c r="P16" s="57" t="n">
        <f aca="false">MAX(0,ROUNDDOWN(N($E16)-L16-N16-O16,-2))</f>
        <v>100300</v>
      </c>
      <c r="Q16" s="57" t="n">
        <f aca="false">SUMPRODUCT((P16&gt;Paramètres!$B$21:$B$27)*(P16-Paramètres!$B$21:$B$27)*Paramètres!$E$21:$E$27)</f>
        <v>9777.1</v>
      </c>
      <c r="R16" s="57" t="n">
        <f aca="false">Q16*INDEX(Paramètres!$C$31:$C$38,MIN(MAX(INT(N(J16)),0),7)+1)</f>
        <v>0</v>
      </c>
      <c r="S16" s="60" t="n">
        <f aca="false">ROUND(Q16-R16,0)</f>
        <v>9777</v>
      </c>
      <c r="T16" s="57" t="n">
        <f aca="false">ROUND(N($E16)*Paramètres!$C$13,0)</f>
        <v>6407</v>
      </c>
      <c r="U16" s="57" t="n">
        <f aca="false">ROUND(MAX(0,N($E16)-(Q16-R16)-M16)*Paramètres!$C$12,0)</f>
        <v>1920</v>
      </c>
      <c r="V16" s="60" t="n">
        <f aca="false">ROUND(N($E16)-M16-S16-U16,0)</f>
        <v>190120</v>
      </c>
    </row>
    <row r="17" customFormat="false" ht="17.25" hidden="false" customHeight="true" outlineLevel="0" collapsed="false">
      <c r="B17" s="53" t="n">
        <v>11</v>
      </c>
      <c r="C17" s="54" t="s">
        <v>26</v>
      </c>
      <c r="D17" s="55" t="n">
        <v>45778</v>
      </c>
      <c r="E17" s="56" t="n">
        <f aca="false">'Juill-aout-sept 2026'!G15</f>
        <v>213563</v>
      </c>
      <c r="F17" s="57" t="n">
        <f aca="false">MIN(ROUNDDOWN(N($E17)*Paramètres!$C$16,0),Paramètres!$D$16)</f>
        <v>42712</v>
      </c>
      <c r="G17" s="57" t="n">
        <f aca="false">MIN(ROUNDDOWN(N($E17)*Paramètres!$C$17,0),Paramètres!$D$17)</f>
        <v>10678</v>
      </c>
      <c r="H17" s="57" t="n">
        <f aca="false">MIN(ROUNDDOWN(N($E17)*Paramètres!$C$18,0),Paramètres!$D$18)</f>
        <v>10678</v>
      </c>
      <c r="I17" s="57" t="n">
        <f aca="false">N($E17)-(F17+G17+H17)</f>
        <v>149495</v>
      </c>
      <c r="J17" s="58" t="n">
        <v>0</v>
      </c>
      <c r="K17" s="59" t="str">
        <f aca="false">IF(I17&lt;Paramètres!$C$11,"Cadre inférieur","Cadre supérieur")</f>
        <v>Cadre inférieur</v>
      </c>
      <c r="L17" s="57" t="n">
        <f aca="false">MIN(F17,MIN(N($E17)*Paramètres!$C$16,Paramètres!$D$16))+MIN(G17,MIN(N($E17)*Paramètres!$C$17,Paramètres!$D$17))+MIN(H17,MIN(N($E17)*Paramètres!$C$18,Paramètres!$D$18))</f>
        <v>64068</v>
      </c>
      <c r="M17" s="57" t="n">
        <f aca="false">MIN(N($E17),Paramètres!$C$7)*Paramètres!$C$6</f>
        <v>11745.965</v>
      </c>
      <c r="N17" s="57" t="n">
        <f aca="false">MIN(M17,I17*Paramètres!$C$8)</f>
        <v>11745.965</v>
      </c>
      <c r="O17" s="57" t="n">
        <f aca="false">I17*IF(K17="Cadre supérieur",Paramètres!$C$10,Paramètres!$C$9)</f>
        <v>37373.75</v>
      </c>
      <c r="P17" s="57" t="n">
        <f aca="false">MAX(0,ROUNDDOWN(N($E17)-L17-N17-O17,-2))</f>
        <v>100300</v>
      </c>
      <c r="Q17" s="57" t="n">
        <f aca="false">SUMPRODUCT((P17&gt;Paramètres!$B$21:$B$27)*(P17-Paramètres!$B$21:$B$27)*Paramètres!$E$21:$E$27)</f>
        <v>9777.1</v>
      </c>
      <c r="R17" s="57" t="n">
        <f aca="false">Q17*INDEX(Paramètres!$C$31:$C$38,MIN(MAX(INT(N(J17)),0),7)+1)</f>
        <v>0</v>
      </c>
      <c r="S17" s="60" t="n">
        <f aca="false">ROUND(Q17-R17,0)</f>
        <v>9777</v>
      </c>
      <c r="T17" s="57" t="n">
        <f aca="false">ROUND(N($E17)*Paramètres!$C$13,0)</f>
        <v>6407</v>
      </c>
      <c r="U17" s="57" t="n">
        <f aca="false">ROUND(MAX(0,N($E17)-(Q17-R17)-M17)*Paramètres!$C$12,0)</f>
        <v>1920</v>
      </c>
      <c r="V17" s="60" t="n">
        <f aca="false">ROUND(N($E17)-M17-S17-U17,0)</f>
        <v>190120</v>
      </c>
    </row>
    <row r="18" customFormat="false" ht="17.25" hidden="false" customHeight="true" outlineLevel="0" collapsed="false">
      <c r="B18" s="53" t="n">
        <v>12</v>
      </c>
      <c r="C18" s="54" t="s">
        <v>27</v>
      </c>
      <c r="D18" s="55" t="n">
        <v>46183</v>
      </c>
      <c r="E18" s="56" t="n">
        <f aca="false">'Juill-aout-sept 2026'!G16</f>
        <v>177387</v>
      </c>
      <c r="F18" s="57" t="n">
        <f aca="false">MIN(ROUNDDOWN(N($E18)*Paramètres!$C$16,0),Paramètres!$D$16)</f>
        <v>35477</v>
      </c>
      <c r="G18" s="57" t="n">
        <f aca="false">MIN(ROUNDDOWN(N($E18)*Paramètres!$C$17,0),Paramètres!$D$17)</f>
        <v>8869</v>
      </c>
      <c r="H18" s="57" t="n">
        <f aca="false">MIN(ROUNDDOWN(N($E18)*Paramètres!$C$18,0),Paramètres!$D$18)</f>
        <v>8869</v>
      </c>
      <c r="I18" s="57" t="n">
        <f aca="false">N($E18)-(F18+G18+H18)</f>
        <v>124172</v>
      </c>
      <c r="J18" s="58" t="n">
        <v>0</v>
      </c>
      <c r="K18" s="59" t="str">
        <f aca="false">IF(I18&lt;Paramètres!$C$11,"Cadre inférieur","Cadre supérieur")</f>
        <v>Cadre inférieur</v>
      </c>
      <c r="L18" s="57" t="n">
        <f aca="false">MIN(F18,MIN(N($E18)*Paramètres!$C$16,Paramètres!$D$16))+MIN(G18,MIN(N($E18)*Paramètres!$C$17,Paramètres!$D$17))+MIN(H18,MIN(N($E18)*Paramètres!$C$18,Paramètres!$D$18))</f>
        <v>53215</v>
      </c>
      <c r="M18" s="57" t="n">
        <f aca="false">MIN(N($E18),Paramètres!$C$7)*Paramètres!$C$6</f>
        <v>9756.285</v>
      </c>
      <c r="N18" s="57" t="n">
        <f aca="false">MIN(M18,I18*Paramètres!$C$8)</f>
        <v>9756.285</v>
      </c>
      <c r="O18" s="57" t="n">
        <f aca="false">I18*IF(K18="Cadre supérieur",Paramètres!$C$10,Paramètres!$C$9)</f>
        <v>31043</v>
      </c>
      <c r="P18" s="57" t="n">
        <f aca="false">MAX(0,ROUNDDOWN(N($E18)-L18-N18-O18,-2))</f>
        <v>83300</v>
      </c>
      <c r="Q18" s="57" t="n">
        <f aca="false">SUMPRODUCT((P18&gt;Paramètres!$B$21:$B$27)*(P18-Paramètres!$B$21:$B$27)*Paramètres!$E$21:$E$27)</f>
        <v>7108.1</v>
      </c>
      <c r="R18" s="57" t="n">
        <f aca="false">Q18*INDEX(Paramètres!$C$31:$C$38,MIN(MAX(INT(N(J18)),0),7)+1)</f>
        <v>0</v>
      </c>
      <c r="S18" s="60" t="n">
        <f aca="false">ROUND(Q18-R18,0)</f>
        <v>7108</v>
      </c>
      <c r="T18" s="57" t="n">
        <f aca="false">ROUND(N($E18)*Paramètres!$C$13,0)</f>
        <v>5322</v>
      </c>
      <c r="U18" s="57" t="n">
        <f aca="false">ROUND(MAX(0,N($E18)-(Q18-R18)-M18)*Paramètres!$C$12,0)</f>
        <v>1605</v>
      </c>
      <c r="V18" s="60" t="n">
        <f aca="false">ROUND(N($E18)-M18-S18-U18,0)</f>
        <v>158918</v>
      </c>
    </row>
    <row r="19" customFormat="false" ht="17.25" hidden="false" customHeight="true" outlineLevel="0" collapsed="false">
      <c r="B19" s="53"/>
      <c r="C19" s="54" t="s">
        <v>28</v>
      </c>
      <c r="D19" s="55"/>
      <c r="E19" s="56" t="n">
        <f aca="false">'Juill-aout-sept 2026'!G17</f>
        <v>0</v>
      </c>
      <c r="F19" s="57" t="n">
        <f aca="false">MIN(ROUNDDOWN(N($E19)*Paramètres!$C$16,0),Paramètres!$D$16)</f>
        <v>0</v>
      </c>
      <c r="G19" s="57" t="n">
        <f aca="false">MIN(ROUNDDOWN(N($E19)*Paramètres!$C$17,0),Paramètres!$D$17)</f>
        <v>0</v>
      </c>
      <c r="H19" s="57" t="n">
        <f aca="false">MIN(ROUNDDOWN(N($E19)*Paramètres!$C$18,0),Paramètres!$D$18)</f>
        <v>0</v>
      </c>
      <c r="I19" s="57" t="n">
        <f aca="false">N($E19)-(F19+G19+H19)</f>
        <v>0</v>
      </c>
      <c r="J19" s="58" t="n">
        <v>0</v>
      </c>
      <c r="K19" s="59" t="str">
        <f aca="false">IF(I19&lt;Paramètres!$C$11,"Cadre inférieur","Cadre supérieur")</f>
        <v>Cadre inférieur</v>
      </c>
      <c r="L19" s="57" t="n">
        <f aca="false">MIN(F19,MIN(N($E19)*Paramètres!$C$16,Paramètres!$D$16))+MIN(G19,MIN(N($E19)*Paramètres!$C$17,Paramètres!$D$17))+MIN(H19,MIN(N($E19)*Paramètres!$C$18,Paramètres!$D$18))</f>
        <v>0</v>
      </c>
      <c r="M19" s="57" t="n">
        <f aca="false">MIN(N($E19),Paramètres!$C$7)*Paramètres!$C$6</f>
        <v>0</v>
      </c>
      <c r="N19" s="57" t="n">
        <f aca="false">MIN(M19,I19*Paramètres!$C$8)</f>
        <v>0</v>
      </c>
      <c r="O19" s="57" t="n">
        <f aca="false">I19*IF(K19="Cadre supérieur",Paramètres!$C$10,Paramètres!$C$9)</f>
        <v>0</v>
      </c>
      <c r="P19" s="57" t="n">
        <f aca="false">MAX(0,ROUNDDOWN(N($E19)-L19-N19-O19,-2))</f>
        <v>0</v>
      </c>
      <c r="Q19" s="57" t="n">
        <f aca="false">SUMPRODUCT((P19&gt;Paramètres!$B$21:$B$27)*(P19-Paramètres!$B$21:$B$27)*Paramètres!$E$21:$E$27)</f>
        <v>0</v>
      </c>
      <c r="R19" s="57" t="n">
        <f aca="false">Q19*INDEX(Paramètres!$C$31:$C$38,MIN(MAX(INT(N(J19)),0),7)+1)</f>
        <v>0</v>
      </c>
      <c r="S19" s="60" t="n">
        <f aca="false">ROUND(Q19-R19,0)</f>
        <v>0</v>
      </c>
      <c r="T19" s="57" t="n">
        <f aca="false">ROUND(N($E19)*Paramètres!$C$13,0)</f>
        <v>0</v>
      </c>
      <c r="U19" s="57" t="n">
        <f aca="false">ROUND(MAX(0,N($E19)-(Q19-R19)-M19)*Paramètres!$C$12,0)</f>
        <v>0</v>
      </c>
      <c r="V19" s="60" t="n">
        <f aca="false">ROUND(N($E19)-M19-S19-U19,0)</f>
        <v>0</v>
      </c>
    </row>
    <row r="20" customFormat="false" ht="17.25" hidden="false" customHeight="true" outlineLevel="0" collapsed="false">
      <c r="B20" s="53" t="n">
        <v>13</v>
      </c>
      <c r="C20" s="54" t="s">
        <v>29</v>
      </c>
      <c r="D20" s="55" t="n">
        <v>45950</v>
      </c>
      <c r="E20" s="56" t="n">
        <f aca="false">'Juill-aout-sept 2026'!G18</f>
        <v>177387</v>
      </c>
      <c r="F20" s="57" t="n">
        <f aca="false">MIN(ROUNDDOWN(N($E20)*Paramètres!$C$16,0),Paramètres!$D$16)</f>
        <v>35477</v>
      </c>
      <c r="G20" s="57" t="n">
        <f aca="false">MIN(ROUNDDOWN(N($E20)*Paramètres!$C$17,0),Paramètres!$D$17)</f>
        <v>8869</v>
      </c>
      <c r="H20" s="57" t="n">
        <f aca="false">MIN(ROUNDDOWN(N($E20)*Paramètres!$C$18,0),Paramètres!$D$18)</f>
        <v>8869</v>
      </c>
      <c r="I20" s="57" t="n">
        <f aca="false">N($E20)-(F20+G20+H20)</f>
        <v>124172</v>
      </c>
      <c r="J20" s="58" t="n">
        <v>0</v>
      </c>
      <c r="K20" s="59" t="str">
        <f aca="false">IF(I20&lt;Paramètres!$C$11,"Cadre inférieur","Cadre supérieur")</f>
        <v>Cadre inférieur</v>
      </c>
      <c r="L20" s="57" t="n">
        <f aca="false">MIN(F20,MIN(N($E20)*Paramètres!$C$16,Paramètres!$D$16))+MIN(G20,MIN(N($E20)*Paramètres!$C$17,Paramètres!$D$17))+MIN(H20,MIN(N($E20)*Paramètres!$C$18,Paramètres!$D$18))</f>
        <v>53215</v>
      </c>
      <c r="M20" s="57" t="n">
        <f aca="false">MIN(N($E20),Paramètres!$C$7)*Paramètres!$C$6</f>
        <v>9756.285</v>
      </c>
      <c r="N20" s="57" t="n">
        <f aca="false">MIN(M20,I20*Paramètres!$C$8)</f>
        <v>9756.285</v>
      </c>
      <c r="O20" s="57" t="n">
        <f aca="false">I20*IF(K20="Cadre supérieur",Paramètres!$C$10,Paramètres!$C$9)</f>
        <v>31043</v>
      </c>
      <c r="P20" s="57" t="n">
        <f aca="false">MAX(0,ROUNDDOWN(N($E20)-L20-N20-O20,-2))</f>
        <v>83300</v>
      </c>
      <c r="Q20" s="57" t="n">
        <f aca="false">SUMPRODUCT((P20&gt;Paramètres!$B$21:$B$27)*(P20-Paramètres!$B$21:$B$27)*Paramètres!$E$21:$E$27)</f>
        <v>7108.1</v>
      </c>
      <c r="R20" s="57" t="n">
        <f aca="false">Q20*INDEX(Paramètres!$C$31:$C$38,MIN(MAX(INT(N(J20)),0),7)+1)</f>
        <v>0</v>
      </c>
      <c r="S20" s="60" t="n">
        <f aca="false">ROUND(Q20-R20,0)</f>
        <v>7108</v>
      </c>
      <c r="T20" s="57" t="n">
        <f aca="false">ROUND(N($E20)*Paramètres!$C$13,0)</f>
        <v>5322</v>
      </c>
      <c r="U20" s="57" t="n">
        <f aca="false">ROUND(MAX(0,N($E20)-(Q20-R20)-M20)*Paramètres!$C$12,0)</f>
        <v>1605</v>
      </c>
      <c r="V20" s="60" t="n">
        <f aca="false">ROUND(N($E20)-M20-S20-U20,0)</f>
        <v>158918</v>
      </c>
    </row>
    <row r="21" customFormat="false" ht="17.25" hidden="false" customHeight="true" outlineLevel="0" collapsed="false">
      <c r="B21" s="53" t="n">
        <v>14</v>
      </c>
      <c r="C21" s="54" t="s">
        <v>30</v>
      </c>
      <c r="D21" s="55" t="n">
        <v>46183</v>
      </c>
      <c r="E21" s="56" t="n">
        <f aca="false">'Juill-aout-sept 2026'!G19</f>
        <v>177387</v>
      </c>
      <c r="F21" s="57" t="n">
        <f aca="false">MIN(ROUNDDOWN(N($E21)*Paramètres!$C$16,0),Paramètres!$D$16)</f>
        <v>35477</v>
      </c>
      <c r="G21" s="57" t="n">
        <f aca="false">MIN(ROUNDDOWN(N($E21)*Paramètres!$C$17,0),Paramètres!$D$17)</f>
        <v>8869</v>
      </c>
      <c r="H21" s="57" t="n">
        <f aca="false">MIN(ROUNDDOWN(N($E21)*Paramètres!$C$18,0),Paramètres!$D$18)</f>
        <v>8869</v>
      </c>
      <c r="I21" s="57" t="n">
        <f aca="false">N($E21)-(F21+G21+H21)</f>
        <v>124172</v>
      </c>
      <c r="J21" s="58" t="n">
        <v>0</v>
      </c>
      <c r="K21" s="59" t="str">
        <f aca="false">IF(I21&lt;Paramètres!$C$11,"Cadre inférieur","Cadre supérieur")</f>
        <v>Cadre inférieur</v>
      </c>
      <c r="L21" s="57" t="n">
        <f aca="false">MIN(F21,MIN(N($E21)*Paramètres!$C$16,Paramètres!$D$16))+MIN(G21,MIN(N($E21)*Paramètres!$C$17,Paramètres!$D$17))+MIN(H21,MIN(N($E21)*Paramètres!$C$18,Paramètres!$D$18))</f>
        <v>53215</v>
      </c>
      <c r="M21" s="57" t="n">
        <f aca="false">MIN(N($E21),Paramètres!$C$7)*Paramètres!$C$6</f>
        <v>9756.285</v>
      </c>
      <c r="N21" s="57" t="n">
        <f aca="false">MIN(M21,I21*Paramètres!$C$8)</f>
        <v>9756.285</v>
      </c>
      <c r="O21" s="57" t="n">
        <f aca="false">I21*IF(K21="Cadre supérieur",Paramètres!$C$10,Paramètres!$C$9)</f>
        <v>31043</v>
      </c>
      <c r="P21" s="57" t="n">
        <f aca="false">MAX(0,ROUNDDOWN(N($E21)-L21-N21-O21,-2))</f>
        <v>83300</v>
      </c>
      <c r="Q21" s="57" t="n">
        <f aca="false">SUMPRODUCT((P21&gt;Paramètres!$B$21:$B$27)*(P21-Paramètres!$B$21:$B$27)*Paramètres!$E$21:$E$27)</f>
        <v>7108.1</v>
      </c>
      <c r="R21" s="57" t="n">
        <f aca="false">Q21*INDEX(Paramètres!$C$31:$C$38,MIN(MAX(INT(N(J21)),0),7)+1)</f>
        <v>0</v>
      </c>
      <c r="S21" s="60" t="n">
        <f aca="false">ROUND(Q21-R21,0)</f>
        <v>7108</v>
      </c>
      <c r="T21" s="57" t="n">
        <f aca="false">ROUND(N($E21)*Paramètres!$C$13,0)</f>
        <v>5322</v>
      </c>
      <c r="U21" s="57" t="n">
        <f aca="false">ROUND(MAX(0,N($E21)-(Q21-R21)-M21)*Paramètres!$C$12,0)</f>
        <v>1605</v>
      </c>
      <c r="V21" s="60" t="n">
        <f aca="false">ROUND(N($E21)-M21-S21-U21,0)</f>
        <v>158918</v>
      </c>
    </row>
    <row r="22" customFormat="false" ht="17.25" hidden="false" customHeight="true" outlineLevel="0" collapsed="false">
      <c r="B22" s="53" t="n">
        <v>15</v>
      </c>
      <c r="C22" s="54" t="s">
        <v>31</v>
      </c>
      <c r="D22" s="55" t="n">
        <v>46139</v>
      </c>
      <c r="E22" s="56" t="n">
        <f aca="false">'Juill-aout-sept 2026'!G20</f>
        <v>135983</v>
      </c>
      <c r="F22" s="57" t="n">
        <f aca="false">MIN(ROUNDDOWN(N($E22)*Paramètres!$C$16,0),Paramètres!$D$16)</f>
        <v>27196</v>
      </c>
      <c r="G22" s="57" t="n">
        <f aca="false">MIN(ROUNDDOWN(N($E22)*Paramètres!$C$17,0),Paramètres!$D$17)</f>
        <v>6799</v>
      </c>
      <c r="H22" s="57" t="n">
        <f aca="false">MIN(ROUNDDOWN(N($E22)*Paramètres!$C$18,0),Paramètres!$D$18)</f>
        <v>6799</v>
      </c>
      <c r="I22" s="57" t="n">
        <f aca="false">N($E22)-(F22+G22+H22)</f>
        <v>95189</v>
      </c>
      <c r="J22" s="58" t="n">
        <v>0</v>
      </c>
      <c r="K22" s="59" t="str">
        <f aca="false">IF(I22&lt;Paramètres!$C$11,"Cadre inférieur","Cadre supérieur")</f>
        <v>Cadre inférieur</v>
      </c>
      <c r="L22" s="57" t="n">
        <f aca="false">MIN(F22,MIN(N($E22)*Paramètres!$C$16,Paramètres!$D$16))+MIN(G22,MIN(N($E22)*Paramètres!$C$17,Paramètres!$D$17))+MIN(H22,MIN(N($E22)*Paramètres!$C$18,Paramètres!$D$18))</f>
        <v>40794</v>
      </c>
      <c r="M22" s="57" t="n">
        <f aca="false">MIN(N($E22),Paramètres!$C$7)*Paramètres!$C$6</f>
        <v>7479.065</v>
      </c>
      <c r="N22" s="57" t="n">
        <f aca="false">MIN(M22,I22*Paramètres!$C$8)</f>
        <v>7479.065</v>
      </c>
      <c r="O22" s="57" t="n">
        <f aca="false">I22*IF(K22="Cadre supérieur",Paramètres!$C$10,Paramètres!$C$9)</f>
        <v>23797.25</v>
      </c>
      <c r="P22" s="57" t="n">
        <f aca="false">MAX(0,ROUNDDOWN(N($E22)-L22-N22-O22,-2))</f>
        <v>63900</v>
      </c>
      <c r="Q22" s="57" t="n">
        <f aca="false">SUMPRODUCT((P22&gt;Paramètres!$B$21:$B$27)*(P22-Paramètres!$B$21:$B$27)*Paramètres!$E$21:$E$27)</f>
        <v>4352.1</v>
      </c>
      <c r="R22" s="57" t="n">
        <f aca="false">Q22*INDEX(Paramètres!$C$31:$C$38,MIN(MAX(INT(N(J22)),0),7)+1)</f>
        <v>0</v>
      </c>
      <c r="S22" s="60" t="n">
        <f aca="false">ROUND(Q22-R22,0)</f>
        <v>4352</v>
      </c>
      <c r="T22" s="57" t="n">
        <f aca="false">ROUND(N($E22)*Paramètres!$C$13,0)</f>
        <v>4079</v>
      </c>
      <c r="U22" s="57" t="n">
        <f aca="false">ROUND(MAX(0,N($E22)-(Q22-R22)-M22)*Paramètres!$C$12,0)</f>
        <v>1242</v>
      </c>
      <c r="V22" s="60" t="n">
        <f aca="false">ROUND(N($E22)-M22-S22-U22,0)</f>
        <v>122910</v>
      </c>
    </row>
    <row r="23" customFormat="false" ht="17.25" hidden="false" customHeight="true" outlineLevel="0" collapsed="false">
      <c r="B23" s="53" t="n">
        <v>16</v>
      </c>
      <c r="C23" s="54" t="s">
        <v>32</v>
      </c>
      <c r="D23" s="55" t="n">
        <v>45809</v>
      </c>
      <c r="E23" s="56" t="n">
        <f aca="false">'Juill-aout-sept 2026'!G21</f>
        <v>135983</v>
      </c>
      <c r="F23" s="57" t="n">
        <f aca="false">MIN(ROUNDDOWN(N($E23)*Paramètres!$C$16,0),Paramètres!$D$16)</f>
        <v>27196</v>
      </c>
      <c r="G23" s="57" t="n">
        <f aca="false">MIN(ROUNDDOWN(N($E23)*Paramètres!$C$17,0),Paramètres!$D$17)</f>
        <v>6799</v>
      </c>
      <c r="H23" s="57" t="n">
        <f aca="false">MIN(ROUNDDOWN(N($E23)*Paramètres!$C$18,0),Paramètres!$D$18)</f>
        <v>6799</v>
      </c>
      <c r="I23" s="57" t="n">
        <f aca="false">N($E23)-(F23+G23+H23)</f>
        <v>95189</v>
      </c>
      <c r="J23" s="58" t="n">
        <v>0</v>
      </c>
      <c r="K23" s="59" t="str">
        <f aca="false">IF(I23&lt;Paramètres!$C$11,"Cadre inférieur","Cadre supérieur")</f>
        <v>Cadre inférieur</v>
      </c>
      <c r="L23" s="57" t="n">
        <f aca="false">MIN(F23,MIN(N($E23)*Paramètres!$C$16,Paramètres!$D$16))+MIN(G23,MIN(N($E23)*Paramètres!$C$17,Paramètres!$D$17))+MIN(H23,MIN(N($E23)*Paramètres!$C$18,Paramètres!$D$18))</f>
        <v>40794</v>
      </c>
      <c r="M23" s="57" t="n">
        <f aca="false">MIN(N($E23),Paramètres!$C$7)*Paramètres!$C$6</f>
        <v>7479.065</v>
      </c>
      <c r="N23" s="57" t="n">
        <f aca="false">MIN(M23,I23*Paramètres!$C$8)</f>
        <v>7479.065</v>
      </c>
      <c r="O23" s="57" t="n">
        <f aca="false">I23*IF(K23="Cadre supérieur",Paramètres!$C$10,Paramètres!$C$9)</f>
        <v>23797.25</v>
      </c>
      <c r="P23" s="57" t="n">
        <f aca="false">MAX(0,ROUNDDOWN(N($E23)-L23-N23-O23,-2))</f>
        <v>63900</v>
      </c>
      <c r="Q23" s="57" t="n">
        <f aca="false">SUMPRODUCT((P23&gt;Paramètres!$B$21:$B$27)*(P23-Paramètres!$B$21:$B$27)*Paramètres!$E$21:$E$27)</f>
        <v>4352.1</v>
      </c>
      <c r="R23" s="57" t="n">
        <f aca="false">Q23*INDEX(Paramètres!$C$31:$C$38,MIN(MAX(INT(N(J23)),0),7)+1)</f>
        <v>0</v>
      </c>
      <c r="S23" s="60" t="n">
        <f aca="false">ROUND(Q23-R23,0)</f>
        <v>4352</v>
      </c>
      <c r="T23" s="57" t="n">
        <f aca="false">ROUND(N($E23)*Paramètres!$C$13,0)</f>
        <v>4079</v>
      </c>
      <c r="U23" s="57" t="n">
        <f aca="false">ROUND(MAX(0,N($E23)-(Q23-R23)-M23)*Paramètres!$C$12,0)</f>
        <v>1242</v>
      </c>
      <c r="V23" s="60" t="n">
        <f aca="false">ROUND(N($E23)-M23-S23-U23,0)</f>
        <v>122910</v>
      </c>
    </row>
    <row r="24" customFormat="false" ht="17.25" hidden="false" customHeight="true" outlineLevel="0" collapsed="false">
      <c r="B24" s="53" t="n">
        <v>17</v>
      </c>
      <c r="C24" s="54" t="s">
        <v>33</v>
      </c>
      <c r="D24" s="55" t="n">
        <v>46174</v>
      </c>
      <c r="E24" s="56" t="n">
        <f aca="false">'Juill-aout-sept 2026'!G22</f>
        <v>177387</v>
      </c>
      <c r="F24" s="57" t="n">
        <f aca="false">MIN(ROUNDDOWN(N($E24)*Paramètres!$C$16,0),Paramètres!$D$16)</f>
        <v>35477</v>
      </c>
      <c r="G24" s="57" t="n">
        <f aca="false">MIN(ROUNDDOWN(N($E24)*Paramètres!$C$17,0),Paramètres!$D$17)</f>
        <v>8869</v>
      </c>
      <c r="H24" s="57" t="n">
        <f aca="false">MIN(ROUNDDOWN(N($E24)*Paramètres!$C$18,0),Paramètres!$D$18)</f>
        <v>8869</v>
      </c>
      <c r="I24" s="57" t="n">
        <f aca="false">N($E24)-(F24+G24+H24)</f>
        <v>124172</v>
      </c>
      <c r="J24" s="58" t="n">
        <v>0</v>
      </c>
      <c r="K24" s="59" t="str">
        <f aca="false">IF(I24&lt;Paramètres!$C$11,"Cadre inférieur","Cadre supérieur")</f>
        <v>Cadre inférieur</v>
      </c>
      <c r="L24" s="57" t="n">
        <f aca="false">MIN(F24,MIN(N($E24)*Paramètres!$C$16,Paramètres!$D$16))+MIN(G24,MIN(N($E24)*Paramètres!$C$17,Paramètres!$D$17))+MIN(H24,MIN(N($E24)*Paramètres!$C$18,Paramètres!$D$18))</f>
        <v>53215</v>
      </c>
      <c r="M24" s="57" t="n">
        <f aca="false">MIN(N($E24),Paramètres!$C$7)*Paramètres!$C$6</f>
        <v>9756.285</v>
      </c>
      <c r="N24" s="57" t="n">
        <f aca="false">MIN(M24,I24*Paramètres!$C$8)</f>
        <v>9756.285</v>
      </c>
      <c r="O24" s="57" t="n">
        <f aca="false">I24*IF(K24="Cadre supérieur",Paramètres!$C$10,Paramètres!$C$9)</f>
        <v>31043</v>
      </c>
      <c r="P24" s="57" t="n">
        <f aca="false">MAX(0,ROUNDDOWN(N($E24)-L24-N24-O24,-2))</f>
        <v>83300</v>
      </c>
      <c r="Q24" s="57" t="n">
        <f aca="false">SUMPRODUCT((P24&gt;Paramètres!$B$21:$B$27)*(P24-Paramètres!$B$21:$B$27)*Paramètres!$E$21:$E$27)</f>
        <v>7108.1</v>
      </c>
      <c r="R24" s="57" t="n">
        <f aca="false">Q24*INDEX(Paramètres!$C$31:$C$38,MIN(MAX(INT(N(J24)),0),7)+1)</f>
        <v>0</v>
      </c>
      <c r="S24" s="60" t="n">
        <f aca="false">ROUND(Q24-R24,0)</f>
        <v>7108</v>
      </c>
      <c r="T24" s="57" t="n">
        <f aca="false">ROUND(N($E24)*Paramètres!$C$13,0)</f>
        <v>5322</v>
      </c>
      <c r="U24" s="57" t="n">
        <f aca="false">ROUND(MAX(0,N($E24)-(Q24-R24)-M24)*Paramètres!$C$12,0)</f>
        <v>1605</v>
      </c>
      <c r="V24" s="60" t="n">
        <f aca="false">ROUND(N($E24)-M24-S24-U24,0)</f>
        <v>158918</v>
      </c>
    </row>
    <row r="25" customFormat="false" ht="17.25" hidden="false" customHeight="true" outlineLevel="0" collapsed="false">
      <c r="B25" s="53" t="n">
        <v>18</v>
      </c>
      <c r="C25" s="54" t="s">
        <v>34</v>
      </c>
      <c r="D25" s="55" t="n">
        <v>45924</v>
      </c>
      <c r="E25" s="56" t="n">
        <f aca="false">'Juill-aout-sept 2026'!G23</f>
        <v>177387</v>
      </c>
      <c r="F25" s="57" t="n">
        <f aca="false">MIN(ROUNDDOWN(N($E25)*Paramètres!$C$16,0),Paramètres!$D$16)</f>
        <v>35477</v>
      </c>
      <c r="G25" s="57" t="n">
        <f aca="false">MIN(ROUNDDOWN(N($E25)*Paramètres!$C$17,0),Paramètres!$D$17)</f>
        <v>8869</v>
      </c>
      <c r="H25" s="57" t="n">
        <f aca="false">MIN(ROUNDDOWN(N($E25)*Paramètres!$C$18,0),Paramètres!$D$18)</f>
        <v>8869</v>
      </c>
      <c r="I25" s="57" t="n">
        <f aca="false">N($E25)-(F25+G25+H25)</f>
        <v>124172</v>
      </c>
      <c r="J25" s="58" t="n">
        <v>0</v>
      </c>
      <c r="K25" s="59" t="str">
        <f aca="false">IF(I25&lt;Paramètres!$C$11,"Cadre inférieur","Cadre supérieur")</f>
        <v>Cadre inférieur</v>
      </c>
      <c r="L25" s="57" t="n">
        <f aca="false">MIN(F25,MIN(N($E25)*Paramètres!$C$16,Paramètres!$D$16))+MIN(G25,MIN(N($E25)*Paramètres!$C$17,Paramètres!$D$17))+MIN(H25,MIN(N($E25)*Paramètres!$C$18,Paramètres!$D$18))</f>
        <v>53215</v>
      </c>
      <c r="M25" s="57" t="n">
        <f aca="false">MIN(N($E25),Paramètres!$C$7)*Paramètres!$C$6</f>
        <v>9756.285</v>
      </c>
      <c r="N25" s="57" t="n">
        <f aca="false">MIN(M25,I25*Paramètres!$C$8)</f>
        <v>9756.285</v>
      </c>
      <c r="O25" s="57" t="n">
        <f aca="false">I25*IF(K25="Cadre supérieur",Paramètres!$C$10,Paramètres!$C$9)</f>
        <v>31043</v>
      </c>
      <c r="P25" s="57" t="n">
        <f aca="false">MAX(0,ROUNDDOWN(N($E25)-L25-N25-O25,-2))</f>
        <v>83300</v>
      </c>
      <c r="Q25" s="57" t="n">
        <f aca="false">SUMPRODUCT((P25&gt;Paramètres!$B$21:$B$27)*(P25-Paramètres!$B$21:$B$27)*Paramètres!$E$21:$E$27)</f>
        <v>7108.1</v>
      </c>
      <c r="R25" s="57" t="n">
        <f aca="false">Q25*INDEX(Paramètres!$C$31:$C$38,MIN(MAX(INT(N(J25)),0),7)+1)</f>
        <v>0</v>
      </c>
      <c r="S25" s="60" t="n">
        <f aca="false">ROUND(Q25-R25,0)</f>
        <v>7108</v>
      </c>
      <c r="T25" s="57" t="n">
        <f aca="false">ROUND(N($E25)*Paramètres!$C$13,0)</f>
        <v>5322</v>
      </c>
      <c r="U25" s="57" t="n">
        <f aca="false">ROUND(MAX(0,N($E25)-(Q25-R25)-M25)*Paramètres!$C$12,0)</f>
        <v>1605</v>
      </c>
      <c r="V25" s="60" t="n">
        <f aca="false">ROUND(N($E25)-M25-S25-U25,0)</f>
        <v>158918</v>
      </c>
    </row>
    <row r="26" customFormat="false" ht="17.25" hidden="false" customHeight="true" outlineLevel="0" collapsed="false">
      <c r="B26" s="53" t="n">
        <v>19</v>
      </c>
      <c r="C26" s="54" t="s">
        <v>35</v>
      </c>
      <c r="D26" s="55" t="n">
        <v>46216</v>
      </c>
      <c r="E26" s="56" t="n">
        <f aca="false">'Juill-aout-sept 2026'!G24</f>
        <v>225778</v>
      </c>
      <c r="F26" s="57" t="n">
        <f aca="false">MIN(ROUNDDOWN(N($E26)*Paramètres!$C$16,0),Paramètres!$D$16)</f>
        <v>45155</v>
      </c>
      <c r="G26" s="57" t="n">
        <f aca="false">MIN(ROUNDDOWN(N($E26)*Paramètres!$C$17,0),Paramètres!$D$17)</f>
        <v>11288</v>
      </c>
      <c r="H26" s="57" t="n">
        <f aca="false">MIN(ROUNDDOWN(N($E26)*Paramètres!$C$18,0),Paramètres!$D$18)</f>
        <v>11288</v>
      </c>
      <c r="I26" s="57" t="n">
        <f aca="false">N($E26)-(F26+G26+H26)</f>
        <v>158047</v>
      </c>
      <c r="J26" s="58" t="n">
        <v>0</v>
      </c>
      <c r="K26" s="59" t="str">
        <f aca="false">IF(I26&lt;Paramètres!$C$11,"Cadre inférieur","Cadre supérieur")</f>
        <v>Cadre supérieur</v>
      </c>
      <c r="L26" s="57" t="n">
        <f aca="false">MIN(F26,MIN(N($E26)*Paramètres!$C$16,Paramètres!$D$16))+MIN(G26,MIN(N($E26)*Paramètres!$C$17,Paramètres!$D$17))+MIN(H26,MIN(N($E26)*Paramètres!$C$18,Paramètres!$D$18))</f>
        <v>67731</v>
      </c>
      <c r="M26" s="57" t="n">
        <f aca="false">MIN(N($E26),Paramètres!$C$7)*Paramètres!$C$6</f>
        <v>12417.79</v>
      </c>
      <c r="N26" s="57" t="n">
        <f aca="false">MIN(M26,I26*Paramètres!$C$8)</f>
        <v>12417.79</v>
      </c>
      <c r="O26" s="57" t="n">
        <f aca="false">I26*IF(K26="Cadre supérieur",Paramètres!$C$10,Paramètres!$C$9)</f>
        <v>31609.4</v>
      </c>
      <c r="P26" s="57" t="n">
        <f aca="false">MAX(0,ROUNDDOWN(N($E26)-L26-N26-O26,-2))</f>
        <v>114000</v>
      </c>
      <c r="Q26" s="57" t="n">
        <f aca="false">SUMPRODUCT((P26&gt;Paramètres!$B$21:$B$27)*(P26-Paramètres!$B$21:$B$27)*Paramètres!$E$21:$E$27)</f>
        <v>11928</v>
      </c>
      <c r="R26" s="57" t="n">
        <f aca="false">Q26*INDEX(Paramètres!$C$31:$C$38,MIN(MAX(INT(N(J26)),0),7)+1)</f>
        <v>0</v>
      </c>
      <c r="S26" s="60" t="n">
        <f aca="false">ROUND(Q26-R26,0)</f>
        <v>11928</v>
      </c>
      <c r="T26" s="57" t="n">
        <f aca="false">ROUND(N($E26)*Paramètres!$C$13,0)</f>
        <v>6773</v>
      </c>
      <c r="U26" s="57" t="n">
        <f aca="false">ROUND(MAX(0,N($E26)-(Q26-R26)-M26)*Paramètres!$C$12,0)</f>
        <v>2014</v>
      </c>
      <c r="V26" s="60" t="n">
        <f aca="false">ROUND(N($E26)-M26-S26-U26,0)</f>
        <v>199418</v>
      </c>
    </row>
    <row r="27" customFormat="false" ht="17.25" hidden="false" customHeight="true" outlineLevel="0" collapsed="false">
      <c r="B27" s="53" t="n">
        <v>20</v>
      </c>
      <c r="C27" s="54" t="s">
        <v>10</v>
      </c>
      <c r="D27" s="55" t="n">
        <v>46000</v>
      </c>
      <c r="E27" s="56" t="n">
        <f aca="false">'Juill-aout-sept 2026'!G25</f>
        <v>177387</v>
      </c>
      <c r="F27" s="57" t="n">
        <f aca="false">MIN(ROUNDDOWN(N($E27)*Paramètres!$C$16,0),Paramètres!$D$16)</f>
        <v>35477</v>
      </c>
      <c r="G27" s="57" t="n">
        <f aca="false">MIN(ROUNDDOWN(N($E27)*Paramètres!$C$17,0),Paramètres!$D$17)</f>
        <v>8869</v>
      </c>
      <c r="H27" s="57" t="n">
        <f aca="false">MIN(ROUNDDOWN(N($E27)*Paramètres!$C$18,0),Paramètres!$D$18)</f>
        <v>8869</v>
      </c>
      <c r="I27" s="57" t="n">
        <f aca="false">N($E27)-(F27+G27+H27)</f>
        <v>124172</v>
      </c>
      <c r="J27" s="58" t="n">
        <v>0</v>
      </c>
      <c r="K27" s="59" t="str">
        <f aca="false">IF(I27&lt;Paramètres!$C$11,"Cadre inférieur","Cadre supérieur")</f>
        <v>Cadre inférieur</v>
      </c>
      <c r="L27" s="57" t="n">
        <f aca="false">MIN(F27,MIN(N($E27)*Paramètres!$C$16,Paramètres!$D$16))+MIN(G27,MIN(N($E27)*Paramètres!$C$17,Paramètres!$D$17))+MIN(H27,MIN(N($E27)*Paramètres!$C$18,Paramètres!$D$18))</f>
        <v>53215</v>
      </c>
      <c r="M27" s="57" t="n">
        <f aca="false">MIN(N($E27),Paramètres!$C$7)*Paramètres!$C$6</f>
        <v>9756.285</v>
      </c>
      <c r="N27" s="57" t="n">
        <f aca="false">MIN(M27,I27*Paramètres!$C$8)</f>
        <v>9756.285</v>
      </c>
      <c r="O27" s="57" t="n">
        <f aca="false">I27*IF(K27="Cadre supérieur",Paramètres!$C$10,Paramètres!$C$9)</f>
        <v>31043</v>
      </c>
      <c r="P27" s="57" t="n">
        <f aca="false">MAX(0,ROUNDDOWN(N($E27)-L27-N27-O27,-2))</f>
        <v>83300</v>
      </c>
      <c r="Q27" s="57" t="n">
        <f aca="false">SUMPRODUCT((P27&gt;Paramètres!$B$21:$B$27)*(P27-Paramètres!$B$21:$B$27)*Paramètres!$E$21:$E$27)</f>
        <v>7108.1</v>
      </c>
      <c r="R27" s="57" t="n">
        <f aca="false">Q27*INDEX(Paramètres!$C$31:$C$38,MIN(MAX(INT(N(J27)),0),7)+1)</f>
        <v>0</v>
      </c>
      <c r="S27" s="60" t="n">
        <f aca="false">ROUND(Q27-R27,0)</f>
        <v>7108</v>
      </c>
      <c r="T27" s="57" t="n">
        <f aca="false">ROUND(N($E27)*Paramètres!$C$13,0)</f>
        <v>5322</v>
      </c>
      <c r="U27" s="57" t="n">
        <f aca="false">ROUND(MAX(0,N($E27)-(Q27-R27)-M27)*Paramètres!$C$12,0)</f>
        <v>1605</v>
      </c>
      <c r="V27" s="60" t="n">
        <f aca="false">ROUND(N($E27)-M27-S27-U27,0)</f>
        <v>158918</v>
      </c>
    </row>
    <row r="28" customFormat="false" ht="17.25" hidden="false" customHeight="true" outlineLevel="0" collapsed="false">
      <c r="B28" s="53" t="n">
        <v>21</v>
      </c>
      <c r="C28" s="54" t="s">
        <v>36</v>
      </c>
      <c r="D28" s="55" t="n">
        <v>46283</v>
      </c>
      <c r="E28" s="56" t="n">
        <f aca="false">'Juill-aout-sept 2026'!G26</f>
        <v>81666</v>
      </c>
      <c r="F28" s="57" t="n">
        <f aca="false">MIN(ROUNDDOWN(N($E28)*Paramètres!$C$16,0),Paramètres!$D$16)</f>
        <v>16333</v>
      </c>
      <c r="G28" s="57" t="n">
        <f aca="false">MIN(ROUNDDOWN(N($E28)*Paramètres!$C$17,0),Paramètres!$D$17)</f>
        <v>4083</v>
      </c>
      <c r="H28" s="57" t="n">
        <f aca="false">MIN(ROUNDDOWN(N($E28)*Paramètres!$C$18,0),Paramètres!$D$18)</f>
        <v>4083</v>
      </c>
      <c r="I28" s="57" t="n">
        <f aca="false">N($E28)-(F28+G28+H28)</f>
        <v>57167</v>
      </c>
      <c r="J28" s="58" t="n">
        <v>0</v>
      </c>
      <c r="K28" s="59" t="str">
        <f aca="false">IF(I28&lt;Paramètres!$C$11,"Cadre inférieur","Cadre supérieur")</f>
        <v>Cadre inférieur</v>
      </c>
      <c r="L28" s="57" t="n">
        <f aca="false">MIN(F28,MIN(N($E28)*Paramètres!$C$16,Paramètres!$D$16))+MIN(G28,MIN(N($E28)*Paramètres!$C$17,Paramètres!$D$17))+MIN(H28,MIN(N($E28)*Paramètres!$C$18,Paramètres!$D$18))</f>
        <v>24499</v>
      </c>
      <c r="M28" s="57" t="n">
        <f aca="false">MIN(N($E28),Paramètres!$C$7)*Paramètres!$C$6</f>
        <v>4491.63</v>
      </c>
      <c r="N28" s="57" t="n">
        <f aca="false">MIN(M28,I28*Paramètres!$C$8)</f>
        <v>4491.63</v>
      </c>
      <c r="O28" s="57" t="n">
        <f aca="false">I28*IF(K28="Cadre supérieur",Paramètres!$C$10,Paramètres!$C$9)</f>
        <v>14291.75</v>
      </c>
      <c r="P28" s="57" t="n">
        <f aca="false">MAX(0,ROUNDDOWN(N($E28)-L28-N28-O28,-2))</f>
        <v>38300</v>
      </c>
      <c r="Q28" s="57" t="n">
        <f aca="false">SUMPRODUCT((P28&gt;Paramètres!$B$21:$B$27)*(P28-Paramètres!$B$21:$B$27)*Paramètres!$E$21:$E$27)</f>
        <v>1004.3</v>
      </c>
      <c r="R28" s="57" t="n">
        <f aca="false">Q28*INDEX(Paramètres!$C$31:$C$38,MIN(MAX(INT(N(J28)),0),7)+1)</f>
        <v>0</v>
      </c>
      <c r="S28" s="60" t="n">
        <f aca="false">ROUND(Q28-R28,0)</f>
        <v>1004</v>
      </c>
      <c r="T28" s="57" t="n">
        <f aca="false">ROUND(N($E28)*Paramètres!$C$13,0)</f>
        <v>2450</v>
      </c>
      <c r="U28" s="57" t="n">
        <f aca="false">ROUND(MAX(0,N($E28)-(Q28-R28)-M28)*Paramètres!$C$12,0)</f>
        <v>762</v>
      </c>
      <c r="V28" s="60" t="n">
        <f aca="false">ROUND(N($E28)-M28-S28-U28,0)</f>
        <v>75408</v>
      </c>
    </row>
    <row r="29" customFormat="false" ht="17.25" hidden="false" customHeight="true" outlineLevel="0" collapsed="false">
      <c r="B29" s="53" t="n">
        <v>22</v>
      </c>
      <c r="C29" s="54" t="s">
        <v>37</v>
      </c>
      <c r="D29" s="55" t="n">
        <v>46204</v>
      </c>
      <c r="E29" s="56" t="n">
        <f aca="false">'Juill-aout-sept 2026'!G27</f>
        <v>213566</v>
      </c>
      <c r="F29" s="57" t="n">
        <f aca="false">MIN(ROUNDDOWN(N($E29)*Paramètres!$C$16,0),Paramètres!$D$16)</f>
        <v>42713</v>
      </c>
      <c r="G29" s="57" t="n">
        <f aca="false">MIN(ROUNDDOWN(N($E29)*Paramètres!$C$17,0),Paramètres!$D$17)</f>
        <v>10678</v>
      </c>
      <c r="H29" s="57" t="n">
        <f aca="false">MIN(ROUNDDOWN(N($E29)*Paramètres!$C$18,0),Paramètres!$D$18)</f>
        <v>10678</v>
      </c>
      <c r="I29" s="57" t="n">
        <f aca="false">N($E29)-(F29+G29+H29)</f>
        <v>149497</v>
      </c>
      <c r="J29" s="58" t="n">
        <v>0</v>
      </c>
      <c r="K29" s="59" t="str">
        <f aca="false">IF(I29&lt;Paramètres!$C$11,"Cadre inférieur","Cadre supérieur")</f>
        <v>Cadre inférieur</v>
      </c>
      <c r="L29" s="57" t="n">
        <f aca="false">MIN(F29,MIN(N($E29)*Paramètres!$C$16,Paramètres!$D$16))+MIN(G29,MIN(N($E29)*Paramètres!$C$17,Paramètres!$D$17))+MIN(H29,MIN(N($E29)*Paramètres!$C$18,Paramètres!$D$18))</f>
        <v>64069</v>
      </c>
      <c r="M29" s="57" t="n">
        <f aca="false">MIN(N($E29),Paramètres!$C$7)*Paramètres!$C$6</f>
        <v>11746.13</v>
      </c>
      <c r="N29" s="57" t="n">
        <f aca="false">MIN(M29,I29*Paramètres!$C$8)</f>
        <v>11746.13</v>
      </c>
      <c r="O29" s="57" t="n">
        <f aca="false">I29*IF(K29="Cadre supérieur",Paramètres!$C$10,Paramètres!$C$9)</f>
        <v>37374.25</v>
      </c>
      <c r="P29" s="57" t="n">
        <f aca="false">MAX(0,ROUNDDOWN(N($E29)-L29-N29-O29,-2))</f>
        <v>100300</v>
      </c>
      <c r="Q29" s="57" t="n">
        <f aca="false">SUMPRODUCT((P29&gt;Paramètres!$B$21:$B$27)*(P29-Paramètres!$B$21:$B$27)*Paramètres!$E$21:$E$27)</f>
        <v>9777.1</v>
      </c>
      <c r="R29" s="57" t="n">
        <f aca="false">Q29*INDEX(Paramètres!$C$31:$C$38,MIN(MAX(INT(N(J29)),0),7)+1)</f>
        <v>0</v>
      </c>
      <c r="S29" s="60" t="n">
        <f aca="false">ROUND(Q29-R29,0)</f>
        <v>9777</v>
      </c>
      <c r="T29" s="57" t="n">
        <f aca="false">ROUND(N($E29)*Paramètres!$C$13,0)</f>
        <v>6407</v>
      </c>
      <c r="U29" s="57" t="n">
        <f aca="false">ROUND(MAX(0,N($E29)-(Q29-R29)-M29)*Paramètres!$C$12,0)</f>
        <v>1920</v>
      </c>
      <c r="V29" s="60" t="n">
        <f aca="false">ROUND(N($E29)-M29-S29-U29,0)</f>
        <v>190123</v>
      </c>
    </row>
    <row r="30" customFormat="false" ht="17.25" hidden="false" customHeight="true" outlineLevel="0" collapsed="false">
      <c r="B30" s="53" t="n">
        <v>23</v>
      </c>
      <c r="C30" s="54" t="s">
        <v>38</v>
      </c>
      <c r="D30" s="55" t="s">
        <v>39</v>
      </c>
      <c r="E30" s="56" t="n">
        <f aca="false">'Juill-aout-sept 2026'!G28</f>
        <v>177387</v>
      </c>
      <c r="F30" s="57" t="n">
        <f aca="false">MIN(ROUNDDOWN(N($E30)*Paramètres!$C$16,0),Paramètres!$D$16)</f>
        <v>35477</v>
      </c>
      <c r="G30" s="57" t="n">
        <f aca="false">MIN(ROUNDDOWN(N($E30)*Paramètres!$C$17,0),Paramètres!$D$17)</f>
        <v>8869</v>
      </c>
      <c r="H30" s="57" t="n">
        <f aca="false">MIN(ROUNDDOWN(N($E30)*Paramètres!$C$18,0),Paramètres!$D$18)</f>
        <v>8869</v>
      </c>
      <c r="I30" s="57" t="n">
        <f aca="false">N($E30)-(F30+G30+H30)</f>
        <v>124172</v>
      </c>
      <c r="J30" s="58" t="n">
        <v>0</v>
      </c>
      <c r="K30" s="59" t="str">
        <f aca="false">IF(I30&lt;Paramètres!$C$11,"Cadre inférieur","Cadre supérieur")</f>
        <v>Cadre inférieur</v>
      </c>
      <c r="L30" s="57" t="n">
        <f aca="false">MIN(F30,MIN(N($E30)*Paramètres!$C$16,Paramètres!$D$16))+MIN(G30,MIN(N($E30)*Paramètres!$C$17,Paramètres!$D$17))+MIN(H30,MIN(N($E30)*Paramètres!$C$18,Paramètres!$D$18))</f>
        <v>53215</v>
      </c>
      <c r="M30" s="57" t="n">
        <f aca="false">MIN(N($E30),Paramètres!$C$7)*Paramètres!$C$6</f>
        <v>9756.285</v>
      </c>
      <c r="N30" s="57" t="n">
        <f aca="false">MIN(M30,I30*Paramètres!$C$8)</f>
        <v>9756.285</v>
      </c>
      <c r="O30" s="57" t="n">
        <f aca="false">I30*IF(K30="Cadre supérieur",Paramètres!$C$10,Paramètres!$C$9)</f>
        <v>31043</v>
      </c>
      <c r="P30" s="57" t="n">
        <f aca="false">MAX(0,ROUNDDOWN(N($E30)-L30-N30-O30,-2))</f>
        <v>83300</v>
      </c>
      <c r="Q30" s="57" t="n">
        <f aca="false">SUMPRODUCT((P30&gt;Paramètres!$B$21:$B$27)*(P30-Paramètres!$B$21:$B$27)*Paramètres!$E$21:$E$27)</f>
        <v>7108.1</v>
      </c>
      <c r="R30" s="57" t="n">
        <f aca="false">Q30*INDEX(Paramètres!$C$31:$C$38,MIN(MAX(INT(N(J30)),0),7)+1)</f>
        <v>0</v>
      </c>
      <c r="S30" s="60" t="n">
        <f aca="false">ROUND(Q30-R30,0)</f>
        <v>7108</v>
      </c>
      <c r="T30" s="57" t="n">
        <f aca="false">ROUND(N($E30)*Paramètres!$C$13,0)</f>
        <v>5322</v>
      </c>
      <c r="U30" s="57" t="n">
        <f aca="false">ROUND(MAX(0,N($E30)-(Q30-R30)-M30)*Paramètres!$C$12,0)</f>
        <v>1605</v>
      </c>
      <c r="V30" s="60" t="n">
        <f aca="false">ROUND(N($E30)-M30-S30-U30,0)</f>
        <v>158918</v>
      </c>
    </row>
    <row r="31" customFormat="false" ht="17.25" hidden="false" customHeight="true" outlineLevel="0" collapsed="false">
      <c r="B31" s="53" t="n">
        <v>24</v>
      </c>
      <c r="C31" s="54" t="s">
        <v>40</v>
      </c>
      <c r="D31" s="55" t="n">
        <v>45778</v>
      </c>
      <c r="E31" s="56" t="n">
        <f aca="false">'Juill-aout-sept 2026'!G29</f>
        <v>165340</v>
      </c>
      <c r="F31" s="57" t="n">
        <f aca="false">MIN(ROUNDDOWN(N($E31)*Paramètres!$C$16,0),Paramètres!$D$16)</f>
        <v>33068</v>
      </c>
      <c r="G31" s="57" t="n">
        <f aca="false">MIN(ROUNDDOWN(N($E31)*Paramètres!$C$17,0),Paramètres!$D$17)</f>
        <v>8267</v>
      </c>
      <c r="H31" s="57" t="n">
        <f aca="false">MIN(ROUNDDOWN(N($E31)*Paramètres!$C$18,0),Paramètres!$D$18)</f>
        <v>8267</v>
      </c>
      <c r="I31" s="57" t="n">
        <f aca="false">N($E31)-(F31+G31+H31)</f>
        <v>115738</v>
      </c>
      <c r="J31" s="58" t="n">
        <v>0</v>
      </c>
      <c r="K31" s="59" t="str">
        <f aca="false">IF(I31&lt;Paramètres!$C$11,"Cadre inférieur","Cadre supérieur")</f>
        <v>Cadre inférieur</v>
      </c>
      <c r="L31" s="57" t="n">
        <f aca="false">MIN(F31,MIN(N($E31)*Paramètres!$C$16,Paramètres!$D$16))+MIN(G31,MIN(N($E31)*Paramètres!$C$17,Paramètres!$D$17))+MIN(H31,MIN(N($E31)*Paramètres!$C$18,Paramètres!$D$18))</f>
        <v>49602</v>
      </c>
      <c r="M31" s="57" t="n">
        <f aca="false">MIN(N($E31),Paramètres!$C$7)*Paramètres!$C$6</f>
        <v>9093.7</v>
      </c>
      <c r="N31" s="57" t="n">
        <f aca="false">MIN(M31,I31*Paramètres!$C$8)</f>
        <v>9093.7</v>
      </c>
      <c r="O31" s="57" t="n">
        <f aca="false">I31*IF(K31="Cadre supérieur",Paramètres!$C$10,Paramètres!$C$9)</f>
        <v>28934.5</v>
      </c>
      <c r="P31" s="57" t="n">
        <f aca="false">MAX(0,ROUNDDOWN(N($E31)-L31-N31-O31,-2))</f>
        <v>77700</v>
      </c>
      <c r="Q31" s="57" t="n">
        <f aca="false">SUMPRODUCT((P31&gt;Paramètres!$B$21:$B$27)*(P31-Paramètres!$B$21:$B$27)*Paramètres!$E$21:$E$27)</f>
        <v>6270.3</v>
      </c>
      <c r="R31" s="57" t="n">
        <f aca="false">Q31*INDEX(Paramètres!$C$31:$C$38,MIN(MAX(INT(N(J31)),0),7)+1)</f>
        <v>0</v>
      </c>
      <c r="S31" s="60" t="n">
        <f aca="false">ROUND(Q31-R31,0)</f>
        <v>6270</v>
      </c>
      <c r="T31" s="57" t="n">
        <f aca="false">ROUND(N($E31)*Paramètres!$C$13,0)</f>
        <v>4960</v>
      </c>
      <c r="U31" s="57" t="n">
        <f aca="false">ROUND(MAX(0,N($E31)-(Q31-R31)-M31)*Paramètres!$C$12,0)</f>
        <v>1500</v>
      </c>
      <c r="V31" s="60" t="n">
        <f aca="false">ROUND(N($E31)-M31-S31-U31,0)</f>
        <v>148476</v>
      </c>
    </row>
    <row r="32" customFormat="false" ht="17.25" hidden="false" customHeight="true" outlineLevel="0" collapsed="false">
      <c r="B32" s="53" t="n">
        <v>25</v>
      </c>
      <c r="C32" s="54" t="s">
        <v>41</v>
      </c>
      <c r="D32" s="55" t="n">
        <v>46183</v>
      </c>
      <c r="E32" s="56" t="n">
        <f aca="false">'Juill-aout-sept 2026'!G30</f>
        <v>177387</v>
      </c>
      <c r="F32" s="57" t="n">
        <f aca="false">MIN(ROUNDDOWN(N($E32)*Paramètres!$C$16,0),Paramètres!$D$16)</f>
        <v>35477</v>
      </c>
      <c r="G32" s="57" t="n">
        <f aca="false">MIN(ROUNDDOWN(N($E32)*Paramètres!$C$17,0),Paramètres!$D$17)</f>
        <v>8869</v>
      </c>
      <c r="H32" s="57" t="n">
        <f aca="false">MIN(ROUNDDOWN(N($E32)*Paramètres!$C$18,0),Paramètres!$D$18)</f>
        <v>8869</v>
      </c>
      <c r="I32" s="57" t="n">
        <f aca="false">N($E32)-(F32+G32+H32)</f>
        <v>124172</v>
      </c>
      <c r="J32" s="58" t="n">
        <v>0</v>
      </c>
      <c r="K32" s="59" t="str">
        <f aca="false">IF(I32&lt;Paramètres!$C$11,"Cadre inférieur","Cadre supérieur")</f>
        <v>Cadre inférieur</v>
      </c>
      <c r="L32" s="57" t="n">
        <f aca="false">MIN(F32,MIN(N($E32)*Paramètres!$C$16,Paramètres!$D$16))+MIN(G32,MIN(N($E32)*Paramètres!$C$17,Paramètres!$D$17))+MIN(H32,MIN(N($E32)*Paramètres!$C$18,Paramètres!$D$18))</f>
        <v>53215</v>
      </c>
      <c r="M32" s="57" t="n">
        <f aca="false">MIN(N($E32),Paramètres!$C$7)*Paramètres!$C$6</f>
        <v>9756.285</v>
      </c>
      <c r="N32" s="57" t="n">
        <f aca="false">MIN(M32,I32*Paramètres!$C$8)</f>
        <v>9756.285</v>
      </c>
      <c r="O32" s="57" t="n">
        <f aca="false">I32*IF(K32="Cadre supérieur",Paramètres!$C$10,Paramètres!$C$9)</f>
        <v>31043</v>
      </c>
      <c r="P32" s="57" t="n">
        <f aca="false">MAX(0,ROUNDDOWN(N($E32)-L32-N32-O32,-2))</f>
        <v>83300</v>
      </c>
      <c r="Q32" s="57" t="n">
        <f aca="false">SUMPRODUCT((P32&gt;Paramètres!$B$21:$B$27)*(P32-Paramètres!$B$21:$B$27)*Paramètres!$E$21:$E$27)</f>
        <v>7108.1</v>
      </c>
      <c r="R32" s="57" t="n">
        <f aca="false">Q32*INDEX(Paramètres!$C$31:$C$38,MIN(MAX(INT(N(J32)),0),7)+1)</f>
        <v>0</v>
      </c>
      <c r="S32" s="60" t="n">
        <f aca="false">ROUND(Q32-R32,0)</f>
        <v>7108</v>
      </c>
      <c r="T32" s="57" t="n">
        <f aca="false">ROUND(N($E32)*Paramètres!$C$13,0)</f>
        <v>5322</v>
      </c>
      <c r="U32" s="57" t="n">
        <f aca="false">ROUND(MAX(0,N($E32)-(Q32-R32)-M32)*Paramètres!$C$12,0)</f>
        <v>1605</v>
      </c>
      <c r="V32" s="60" t="n">
        <f aca="false">ROUND(N($E32)-M32-S32-U32,0)</f>
        <v>158918</v>
      </c>
    </row>
    <row r="33" customFormat="false" ht="17.25" hidden="false" customHeight="true" outlineLevel="0" collapsed="false">
      <c r="B33" s="53"/>
      <c r="C33" s="54" t="s">
        <v>13</v>
      </c>
      <c r="D33" s="55"/>
      <c r="E33" s="56" t="n">
        <f aca="false">'Juill-aout-sept 2026'!G31</f>
        <v>346515</v>
      </c>
      <c r="F33" s="57" t="n">
        <f aca="false">MIN(ROUNDDOWN(N($E33)*Paramètres!$C$16,0),Paramètres!$D$16)</f>
        <v>69303</v>
      </c>
      <c r="G33" s="57" t="n">
        <f aca="false">MIN(ROUNDDOWN(N($E33)*Paramètres!$C$17,0),Paramètres!$D$17)</f>
        <v>17325</v>
      </c>
      <c r="H33" s="57" t="n">
        <f aca="false">MIN(ROUNDDOWN(N($E33)*Paramètres!$C$18,0),Paramètres!$D$18)</f>
        <v>17325</v>
      </c>
      <c r="I33" s="57" t="n">
        <f aca="false">N($E33)-(F33+G33+H33)</f>
        <v>242562</v>
      </c>
      <c r="J33" s="58" t="n">
        <v>0</v>
      </c>
      <c r="K33" s="59" t="str">
        <f aca="false">IF(I33&lt;Paramètres!$C$11,"Cadre inférieur","Cadre supérieur")</f>
        <v>Cadre supérieur</v>
      </c>
      <c r="L33" s="57" t="n">
        <f aca="false">MIN(F33,MIN(N($E33)*Paramètres!$C$16,Paramètres!$D$16))+MIN(G33,MIN(N($E33)*Paramètres!$C$17,Paramètres!$D$17))+MIN(H33,MIN(N($E33)*Paramètres!$C$18,Paramètres!$D$18))</f>
        <v>103953</v>
      </c>
      <c r="M33" s="57" t="n">
        <f aca="false">MIN(N($E33),Paramètres!$C$7)*Paramètres!$C$6</f>
        <v>19058.325</v>
      </c>
      <c r="N33" s="57" t="n">
        <f aca="false">MIN(M33,I33*Paramètres!$C$8)</f>
        <v>19058.325</v>
      </c>
      <c r="O33" s="57" t="n">
        <f aca="false">I33*IF(K33="Cadre supérieur",Paramètres!$C$10,Paramètres!$C$9)</f>
        <v>48512.4</v>
      </c>
      <c r="P33" s="57" t="n">
        <f aca="false">MAX(0,ROUNDDOWN(N($E33)-L33-N33-O33,-2))</f>
        <v>174900</v>
      </c>
      <c r="Q33" s="57" t="n">
        <f aca="false">SUMPRODUCT((P33&gt;Paramètres!$B$21:$B$27)*(P33-Paramètres!$B$21:$B$27)*Paramètres!$E$21:$E$27)</f>
        <v>23133.3</v>
      </c>
      <c r="R33" s="57" t="n">
        <f aca="false">Q33*INDEX(Paramètres!$C$31:$C$38,MIN(MAX(INT(N(J33)),0),7)+1)</f>
        <v>0</v>
      </c>
      <c r="S33" s="60" t="n">
        <f aca="false">ROUND(Q33-R33,0)</f>
        <v>23133</v>
      </c>
      <c r="T33" s="57" t="n">
        <f aca="false">ROUND(N($E33)*Paramètres!$C$13,0)</f>
        <v>10395</v>
      </c>
      <c r="U33" s="57" t="n">
        <f aca="false">ROUND(MAX(0,N($E33)-(Q33-R33)-M33)*Paramètres!$C$12,0)</f>
        <v>3043</v>
      </c>
      <c r="V33" s="60" t="n">
        <f aca="false">ROUND(N($E33)-M33-S33-U33,0)</f>
        <v>301281</v>
      </c>
    </row>
    <row r="34" customFormat="false" ht="17.25" hidden="false" customHeight="true" outlineLevel="0" collapsed="false">
      <c r="B34" s="53" t="n">
        <v>26</v>
      </c>
      <c r="C34" s="54" t="s">
        <v>42</v>
      </c>
      <c r="D34" s="55" t="n">
        <v>45965</v>
      </c>
      <c r="E34" s="56" t="n">
        <f aca="false">'Juill-aout-sept 2026'!G32</f>
        <v>80000</v>
      </c>
      <c r="F34" s="57" t="n">
        <f aca="false">MIN(ROUNDDOWN(N($E34)*Paramètres!$C$16,0),Paramètres!$D$16)</f>
        <v>16000</v>
      </c>
      <c r="G34" s="57" t="n">
        <f aca="false">MIN(ROUNDDOWN(N($E34)*Paramètres!$C$17,0),Paramètres!$D$17)</f>
        <v>4000</v>
      </c>
      <c r="H34" s="57" t="n">
        <f aca="false">MIN(ROUNDDOWN(N($E34)*Paramètres!$C$18,0),Paramètres!$D$18)</f>
        <v>4000</v>
      </c>
      <c r="I34" s="57" t="n">
        <f aca="false">N($E34)-(F34+G34+H34)</f>
        <v>56000</v>
      </c>
      <c r="J34" s="58" t="n">
        <v>0</v>
      </c>
      <c r="K34" s="59" t="str">
        <f aca="false">IF(I34&lt;Paramètres!$C$11,"Cadre inférieur","Cadre supérieur")</f>
        <v>Cadre inférieur</v>
      </c>
      <c r="L34" s="57" t="n">
        <f aca="false">MIN(F34,MIN(N($E34)*Paramètres!$C$16,Paramètres!$D$16))+MIN(G34,MIN(N($E34)*Paramètres!$C$17,Paramètres!$D$17))+MIN(H34,MIN(N($E34)*Paramètres!$C$18,Paramètres!$D$18))</f>
        <v>24000</v>
      </c>
      <c r="M34" s="57" t="n">
        <f aca="false">MIN(N($E34),Paramètres!$C$7)*Paramètres!$C$6</f>
        <v>4400</v>
      </c>
      <c r="N34" s="57" t="n">
        <f aca="false">MIN(M34,I34*Paramètres!$C$8)</f>
        <v>4400</v>
      </c>
      <c r="O34" s="57" t="n">
        <f aca="false">I34*IF(K34="Cadre supérieur",Paramètres!$C$10,Paramètres!$C$9)</f>
        <v>14000</v>
      </c>
      <c r="P34" s="57" t="n">
        <f aca="false">MAX(0,ROUNDDOWN(N($E34)-L34-N34-O34,-2))</f>
        <v>37600</v>
      </c>
      <c r="Q34" s="57" t="n">
        <f aca="false">SUMPRODUCT((P34&gt;Paramètres!$B$21:$B$27)*(P34-Paramètres!$B$21:$B$27)*Paramètres!$E$21:$E$27)</f>
        <v>919.6</v>
      </c>
      <c r="R34" s="57" t="n">
        <f aca="false">Q34*INDEX(Paramètres!$C$31:$C$38,MIN(MAX(INT(N(J34)),0),7)+1)</f>
        <v>0</v>
      </c>
      <c r="S34" s="60" t="n">
        <f aca="false">ROUND(Q34-R34,0)</f>
        <v>920</v>
      </c>
      <c r="T34" s="57" t="n">
        <f aca="false">ROUND(N($E34)*Paramètres!$C$13,0)</f>
        <v>2400</v>
      </c>
      <c r="U34" s="57" t="n">
        <f aca="false">ROUND(MAX(0,N($E34)-(Q34-R34)-M34)*Paramètres!$C$12,0)</f>
        <v>747</v>
      </c>
      <c r="V34" s="60" t="n">
        <f aca="false">ROUND(N($E34)-M34-S34-U34,0)</f>
        <v>73933</v>
      </c>
    </row>
    <row r="35" customFormat="false" ht="17.25" hidden="false" customHeight="true" outlineLevel="0" collapsed="false">
      <c r="B35" s="53" t="n">
        <v>27</v>
      </c>
      <c r="C35" s="54" t="s">
        <v>14</v>
      </c>
      <c r="D35" s="55" t="n">
        <v>46092</v>
      </c>
      <c r="E35" s="56" t="n">
        <f aca="false">'Juill-aout-sept 2026'!G33</f>
        <v>225778</v>
      </c>
      <c r="F35" s="57" t="n">
        <f aca="false">MIN(ROUNDDOWN(N($E35)*Paramètres!$C$16,0),Paramètres!$D$16)</f>
        <v>45155</v>
      </c>
      <c r="G35" s="57" t="n">
        <f aca="false">MIN(ROUNDDOWN(N($E35)*Paramètres!$C$17,0),Paramètres!$D$17)</f>
        <v>11288</v>
      </c>
      <c r="H35" s="57" t="n">
        <f aca="false">MIN(ROUNDDOWN(N($E35)*Paramètres!$C$18,0),Paramètres!$D$18)</f>
        <v>11288</v>
      </c>
      <c r="I35" s="57" t="n">
        <f aca="false">N($E35)-(F35+G35+H35)</f>
        <v>158047</v>
      </c>
      <c r="J35" s="58" t="n">
        <v>0</v>
      </c>
      <c r="K35" s="59" t="str">
        <f aca="false">IF(I35&lt;Paramètres!$C$11,"Cadre inférieur","Cadre supérieur")</f>
        <v>Cadre supérieur</v>
      </c>
      <c r="L35" s="57" t="n">
        <f aca="false">MIN(F35,MIN(N($E35)*Paramètres!$C$16,Paramètres!$D$16))+MIN(G35,MIN(N($E35)*Paramètres!$C$17,Paramètres!$D$17))+MIN(H35,MIN(N($E35)*Paramètres!$C$18,Paramètres!$D$18))</f>
        <v>67731</v>
      </c>
      <c r="M35" s="57" t="n">
        <f aca="false">MIN(N($E35),Paramètres!$C$7)*Paramètres!$C$6</f>
        <v>12417.79</v>
      </c>
      <c r="N35" s="57" t="n">
        <f aca="false">MIN(M35,I35*Paramètres!$C$8)</f>
        <v>12417.79</v>
      </c>
      <c r="O35" s="57" t="n">
        <f aca="false">I35*IF(K35="Cadre supérieur",Paramètres!$C$10,Paramètres!$C$9)</f>
        <v>31609.4</v>
      </c>
      <c r="P35" s="57" t="n">
        <f aca="false">MAX(0,ROUNDDOWN(N($E35)-L35-N35-O35,-2))</f>
        <v>114000</v>
      </c>
      <c r="Q35" s="57" t="n">
        <f aca="false">SUMPRODUCT((P35&gt;Paramètres!$B$21:$B$27)*(P35-Paramètres!$B$21:$B$27)*Paramètres!$E$21:$E$27)</f>
        <v>11928</v>
      </c>
      <c r="R35" s="57" t="n">
        <f aca="false">Q35*INDEX(Paramètres!$C$31:$C$38,MIN(MAX(INT(N(J35)),0),7)+1)</f>
        <v>0</v>
      </c>
      <c r="S35" s="60" t="n">
        <f aca="false">ROUND(Q35-R35,0)</f>
        <v>11928</v>
      </c>
      <c r="T35" s="57" t="n">
        <f aca="false">ROUND(N($E35)*Paramètres!$C$13,0)</f>
        <v>6773</v>
      </c>
      <c r="U35" s="57" t="n">
        <f aca="false">ROUND(MAX(0,N($E35)-(Q35-R35)-M35)*Paramètres!$C$12,0)</f>
        <v>2014</v>
      </c>
      <c r="V35" s="60" t="n">
        <f aca="false">ROUND(N($E35)-M35-S35-U35,0)</f>
        <v>199418</v>
      </c>
    </row>
    <row r="36" customFormat="false" ht="17.25" hidden="false" customHeight="true" outlineLevel="0" collapsed="false">
      <c r="B36" s="53"/>
      <c r="C36" s="54" t="s">
        <v>43</v>
      </c>
      <c r="D36" s="55"/>
      <c r="E36" s="56" t="n">
        <f aca="false">'Juill-aout-sept 2026'!G34</f>
        <v>0</v>
      </c>
      <c r="F36" s="57" t="n">
        <f aca="false">MIN(ROUNDDOWN(N($E36)*Paramètres!$C$16,0),Paramètres!$D$16)</f>
        <v>0</v>
      </c>
      <c r="G36" s="57" t="n">
        <f aca="false">MIN(ROUNDDOWN(N($E36)*Paramètres!$C$17,0),Paramètres!$D$17)</f>
        <v>0</v>
      </c>
      <c r="H36" s="57" t="n">
        <f aca="false">MIN(ROUNDDOWN(N($E36)*Paramètres!$C$18,0),Paramètres!$D$18)</f>
        <v>0</v>
      </c>
      <c r="I36" s="57" t="n">
        <f aca="false">N($E36)-(F36+G36+H36)</f>
        <v>0</v>
      </c>
      <c r="J36" s="58" t="n">
        <v>0</v>
      </c>
      <c r="K36" s="59" t="str">
        <f aca="false">IF(I36&lt;Paramètres!$C$11,"Cadre inférieur","Cadre supérieur")</f>
        <v>Cadre inférieur</v>
      </c>
      <c r="L36" s="57" t="n">
        <f aca="false">MIN(F36,MIN(N($E36)*Paramètres!$C$16,Paramètres!$D$16))+MIN(G36,MIN(N($E36)*Paramètres!$C$17,Paramètres!$D$17))+MIN(H36,MIN(N($E36)*Paramètres!$C$18,Paramètres!$D$18))</f>
        <v>0</v>
      </c>
      <c r="M36" s="57" t="n">
        <f aca="false">MIN(N($E36),Paramètres!$C$7)*Paramètres!$C$6</f>
        <v>0</v>
      </c>
      <c r="N36" s="57" t="n">
        <f aca="false">MIN(M36,I36*Paramètres!$C$8)</f>
        <v>0</v>
      </c>
      <c r="O36" s="57" t="n">
        <f aca="false">I36*IF(K36="Cadre supérieur",Paramètres!$C$10,Paramètres!$C$9)</f>
        <v>0</v>
      </c>
      <c r="P36" s="57" t="n">
        <f aca="false">MAX(0,ROUNDDOWN(N($E36)-L36-N36-O36,-2))</f>
        <v>0</v>
      </c>
      <c r="Q36" s="57" t="n">
        <f aca="false">SUMPRODUCT((P36&gt;Paramètres!$B$21:$B$27)*(P36-Paramètres!$B$21:$B$27)*Paramètres!$E$21:$E$27)</f>
        <v>0</v>
      </c>
      <c r="R36" s="57" t="n">
        <f aca="false">Q36*INDEX(Paramètres!$C$31:$C$38,MIN(MAX(INT(N(J36)),0),7)+1)</f>
        <v>0</v>
      </c>
      <c r="S36" s="60" t="n">
        <f aca="false">ROUND(Q36-R36,0)</f>
        <v>0</v>
      </c>
      <c r="T36" s="57" t="n">
        <f aca="false">ROUND(N($E36)*Paramètres!$C$13,0)</f>
        <v>0</v>
      </c>
      <c r="U36" s="57" t="n">
        <f aca="false">ROUND(MAX(0,N($E36)-(Q36-R36)-M36)*Paramètres!$C$12,0)</f>
        <v>0</v>
      </c>
      <c r="V36" s="60" t="n">
        <f aca="false">ROUND(N($E36)-M36-S36-U36,0)</f>
        <v>0</v>
      </c>
    </row>
    <row r="37" customFormat="false" ht="17.25" hidden="false" customHeight="true" outlineLevel="0" collapsed="false">
      <c r="B37" s="53" t="n">
        <v>28</v>
      </c>
      <c r="C37" s="54" t="s">
        <v>44</v>
      </c>
      <c r="D37" s="55" t="n">
        <v>46275</v>
      </c>
      <c r="E37" s="56" t="n">
        <f aca="false">'Juill-aout-sept 2026'!G35</f>
        <v>108397</v>
      </c>
      <c r="F37" s="57" t="n">
        <f aca="false">MIN(ROUNDDOWN(N($E37)*Paramètres!$C$16,0),Paramètres!$D$16)</f>
        <v>21679</v>
      </c>
      <c r="G37" s="57" t="n">
        <f aca="false">MIN(ROUNDDOWN(N($E37)*Paramètres!$C$17,0),Paramètres!$D$17)</f>
        <v>5419</v>
      </c>
      <c r="H37" s="57" t="n">
        <f aca="false">MIN(ROUNDDOWN(N($E37)*Paramètres!$C$18,0),Paramètres!$D$18)</f>
        <v>5419</v>
      </c>
      <c r="I37" s="57" t="n">
        <f aca="false">N($E37)-(F37+G37+H37)</f>
        <v>75880</v>
      </c>
      <c r="J37" s="58" t="n">
        <v>0</v>
      </c>
      <c r="K37" s="59" t="str">
        <f aca="false">IF(I37&lt;Paramètres!$C$11,"Cadre inférieur","Cadre supérieur")</f>
        <v>Cadre inférieur</v>
      </c>
      <c r="L37" s="57" t="n">
        <f aca="false">MIN(F37,MIN(N($E37)*Paramètres!$C$16,Paramètres!$D$16))+MIN(G37,MIN(N($E37)*Paramètres!$C$17,Paramètres!$D$17))+MIN(H37,MIN(N($E37)*Paramètres!$C$18,Paramètres!$D$18))</f>
        <v>32517</v>
      </c>
      <c r="M37" s="57" t="n">
        <f aca="false">MIN(N($E37),Paramètres!$C$7)*Paramètres!$C$6</f>
        <v>5961.835</v>
      </c>
      <c r="N37" s="57" t="n">
        <f aca="false">MIN(M37,I37*Paramètres!$C$8)</f>
        <v>5961.835</v>
      </c>
      <c r="O37" s="57" t="n">
        <f aca="false">I37*IF(K37="Cadre supérieur",Paramètres!$C$10,Paramètres!$C$9)</f>
        <v>18970</v>
      </c>
      <c r="P37" s="57" t="n">
        <f aca="false">MAX(0,ROUNDDOWN(N($E37)-L37-N37-O37,-2))</f>
        <v>50900</v>
      </c>
      <c r="Q37" s="57" t="n">
        <f aca="false">SUMPRODUCT((P37&gt;Paramètres!$B$21:$B$27)*(P37-Paramètres!$B$21:$B$27)*Paramètres!$E$21:$E$27)</f>
        <v>2545.1</v>
      </c>
      <c r="R37" s="57" t="n">
        <f aca="false">Q37*INDEX(Paramètres!$C$31:$C$38,MIN(MAX(INT(N(J37)),0),7)+1)</f>
        <v>0</v>
      </c>
      <c r="S37" s="60" t="n">
        <f aca="false">ROUND(Q37-R37,0)</f>
        <v>2545</v>
      </c>
      <c r="T37" s="57" t="n">
        <f aca="false">ROUND(N($E37)*Paramètres!$C$13,0)</f>
        <v>3252</v>
      </c>
      <c r="U37" s="57" t="n">
        <f aca="false">ROUND(MAX(0,N($E37)-(Q37-R37)-M37)*Paramètres!$C$12,0)</f>
        <v>999</v>
      </c>
      <c r="V37" s="60" t="n">
        <f aca="false">ROUND(N($E37)-M37-S37-U37,0)</f>
        <v>98891</v>
      </c>
    </row>
    <row r="38" customFormat="false" ht="17.25" hidden="false" customHeight="true" outlineLevel="0" collapsed="false">
      <c r="B38" s="53" t="n">
        <v>29</v>
      </c>
      <c r="C38" s="54" t="s">
        <v>45</v>
      </c>
      <c r="D38" s="55" t="n">
        <v>46216</v>
      </c>
      <c r="E38" s="56" t="n">
        <f aca="false">'Juill-aout-sept 2026'!G36</f>
        <v>225778</v>
      </c>
      <c r="F38" s="57" t="n">
        <f aca="false">MIN(ROUNDDOWN(N($E38)*Paramètres!$C$16,0),Paramètres!$D$16)</f>
        <v>45155</v>
      </c>
      <c r="G38" s="57" t="n">
        <f aca="false">MIN(ROUNDDOWN(N($E38)*Paramètres!$C$17,0),Paramètres!$D$17)</f>
        <v>11288</v>
      </c>
      <c r="H38" s="57" t="n">
        <f aca="false">MIN(ROUNDDOWN(N($E38)*Paramètres!$C$18,0),Paramètres!$D$18)</f>
        <v>11288</v>
      </c>
      <c r="I38" s="57" t="n">
        <f aca="false">N($E38)-(F38+G38+H38)</f>
        <v>158047</v>
      </c>
      <c r="J38" s="58" t="n">
        <v>0</v>
      </c>
      <c r="K38" s="59" t="str">
        <f aca="false">IF(I38&lt;Paramètres!$C$11,"Cadre inférieur","Cadre supérieur")</f>
        <v>Cadre supérieur</v>
      </c>
      <c r="L38" s="57" t="n">
        <f aca="false">MIN(F38,MIN(N($E38)*Paramètres!$C$16,Paramètres!$D$16))+MIN(G38,MIN(N($E38)*Paramètres!$C$17,Paramètres!$D$17))+MIN(H38,MIN(N($E38)*Paramètres!$C$18,Paramètres!$D$18))</f>
        <v>67731</v>
      </c>
      <c r="M38" s="57" t="n">
        <f aca="false">MIN(N($E38),Paramètres!$C$7)*Paramètres!$C$6</f>
        <v>12417.79</v>
      </c>
      <c r="N38" s="57" t="n">
        <f aca="false">MIN(M38,I38*Paramètres!$C$8)</f>
        <v>12417.79</v>
      </c>
      <c r="O38" s="57" t="n">
        <f aca="false">I38*IF(K38="Cadre supérieur",Paramètres!$C$10,Paramètres!$C$9)</f>
        <v>31609.4</v>
      </c>
      <c r="P38" s="57" t="n">
        <f aca="false">MAX(0,ROUNDDOWN(N($E38)-L38-N38-O38,-2))</f>
        <v>114000</v>
      </c>
      <c r="Q38" s="57" t="n">
        <f aca="false">SUMPRODUCT((P38&gt;Paramètres!$B$21:$B$27)*(P38-Paramètres!$B$21:$B$27)*Paramètres!$E$21:$E$27)</f>
        <v>11928</v>
      </c>
      <c r="R38" s="57" t="n">
        <f aca="false">Q38*INDEX(Paramètres!$C$31:$C$38,MIN(MAX(INT(N(J38)),0),7)+1)</f>
        <v>0</v>
      </c>
      <c r="S38" s="60" t="n">
        <f aca="false">ROUND(Q38-R38,0)</f>
        <v>11928</v>
      </c>
      <c r="T38" s="57" t="n">
        <f aca="false">ROUND(N($E38)*Paramètres!$C$13,0)</f>
        <v>6773</v>
      </c>
      <c r="U38" s="57" t="n">
        <f aca="false">ROUND(MAX(0,N($E38)-(Q38-R38)-M38)*Paramètres!$C$12,0)</f>
        <v>2014</v>
      </c>
      <c r="V38" s="60" t="n">
        <f aca="false">ROUND(N($E38)-M38-S38-U38,0)</f>
        <v>199418</v>
      </c>
    </row>
    <row r="39" customFormat="false" ht="17.25" hidden="false" customHeight="true" outlineLevel="0" collapsed="false">
      <c r="B39" s="53" t="n">
        <v>30</v>
      </c>
      <c r="C39" s="54" t="s">
        <v>11</v>
      </c>
      <c r="D39" s="55" t="n">
        <v>45778</v>
      </c>
      <c r="E39" s="56" t="n">
        <f aca="false">'Juill-aout-sept 2026'!G37</f>
        <v>346515</v>
      </c>
      <c r="F39" s="57" t="n">
        <f aca="false">MIN(ROUNDDOWN(N($E39)*Paramètres!$C$16,0),Paramètres!$D$16)</f>
        <v>69303</v>
      </c>
      <c r="G39" s="57" t="n">
        <f aca="false">MIN(ROUNDDOWN(N($E39)*Paramètres!$C$17,0),Paramètres!$D$17)</f>
        <v>17325</v>
      </c>
      <c r="H39" s="57" t="n">
        <f aca="false">MIN(ROUNDDOWN(N($E39)*Paramètres!$C$18,0),Paramètres!$D$18)</f>
        <v>17325</v>
      </c>
      <c r="I39" s="57" t="n">
        <f aca="false">N($E39)-(F39+G39+H39)</f>
        <v>242562</v>
      </c>
      <c r="J39" s="58" t="n">
        <v>0</v>
      </c>
      <c r="K39" s="59" t="str">
        <f aca="false">IF(I39&lt;Paramètres!$C$11,"Cadre inférieur","Cadre supérieur")</f>
        <v>Cadre supérieur</v>
      </c>
      <c r="L39" s="57" t="n">
        <f aca="false">MIN(F39,MIN(N($E39)*Paramètres!$C$16,Paramètres!$D$16))+MIN(G39,MIN(N($E39)*Paramètres!$C$17,Paramètres!$D$17))+MIN(H39,MIN(N($E39)*Paramètres!$C$18,Paramètres!$D$18))</f>
        <v>103953</v>
      </c>
      <c r="M39" s="57" t="n">
        <f aca="false">MIN(N($E39),Paramètres!$C$7)*Paramètres!$C$6</f>
        <v>19058.325</v>
      </c>
      <c r="N39" s="57" t="n">
        <f aca="false">MIN(M39,I39*Paramètres!$C$8)</f>
        <v>19058.325</v>
      </c>
      <c r="O39" s="57" t="n">
        <f aca="false">I39*IF(K39="Cadre supérieur",Paramètres!$C$10,Paramètres!$C$9)</f>
        <v>48512.4</v>
      </c>
      <c r="P39" s="57" t="n">
        <f aca="false">MAX(0,ROUNDDOWN(N($E39)-L39-N39-O39,-2))</f>
        <v>174900</v>
      </c>
      <c r="Q39" s="57" t="n">
        <f aca="false">SUMPRODUCT((P39&gt;Paramètres!$B$21:$B$27)*(P39-Paramètres!$B$21:$B$27)*Paramètres!$E$21:$E$27)</f>
        <v>23133.3</v>
      </c>
      <c r="R39" s="57" t="n">
        <f aca="false">Q39*INDEX(Paramètres!$C$31:$C$38,MIN(MAX(INT(N(J39)),0),7)+1)</f>
        <v>0</v>
      </c>
      <c r="S39" s="60" t="n">
        <f aca="false">ROUND(Q39-R39,0)</f>
        <v>23133</v>
      </c>
      <c r="T39" s="57" t="n">
        <f aca="false">ROUND(N($E39)*Paramètres!$C$13,0)</f>
        <v>10395</v>
      </c>
      <c r="U39" s="57" t="n">
        <f aca="false">ROUND(MAX(0,N($E39)-(Q39-R39)-M39)*Paramètres!$C$12,0)</f>
        <v>3043</v>
      </c>
      <c r="V39" s="60" t="n">
        <f aca="false">ROUND(N($E39)-M39-S39-U39,0)</f>
        <v>301281</v>
      </c>
    </row>
    <row r="40" customFormat="false" ht="17.25" hidden="false" customHeight="true" outlineLevel="0" collapsed="false">
      <c r="B40" s="53" t="n">
        <v>31</v>
      </c>
      <c r="C40" s="54" t="s">
        <v>46</v>
      </c>
      <c r="D40" s="55" t="n">
        <v>45962</v>
      </c>
      <c r="E40" s="56" t="n">
        <f aca="false">'Juill-aout-sept 2026'!G38</f>
        <v>213563</v>
      </c>
      <c r="F40" s="57" t="n">
        <f aca="false">MIN(ROUNDDOWN(N($E40)*Paramètres!$C$16,0),Paramètres!$D$16)</f>
        <v>42712</v>
      </c>
      <c r="G40" s="57" t="n">
        <f aca="false">MIN(ROUNDDOWN(N($E40)*Paramètres!$C$17,0),Paramètres!$D$17)</f>
        <v>10678</v>
      </c>
      <c r="H40" s="57" t="n">
        <f aca="false">MIN(ROUNDDOWN(N($E40)*Paramètres!$C$18,0),Paramètres!$D$18)</f>
        <v>10678</v>
      </c>
      <c r="I40" s="57" t="n">
        <f aca="false">N($E40)-(F40+G40+H40)</f>
        <v>149495</v>
      </c>
      <c r="J40" s="58" t="n">
        <v>0</v>
      </c>
      <c r="K40" s="59" t="str">
        <f aca="false">IF(I40&lt;Paramètres!$C$11,"Cadre inférieur","Cadre supérieur")</f>
        <v>Cadre inférieur</v>
      </c>
      <c r="L40" s="57" t="n">
        <f aca="false">MIN(F40,MIN(N($E40)*Paramètres!$C$16,Paramètres!$D$16))+MIN(G40,MIN(N($E40)*Paramètres!$C$17,Paramètres!$D$17))+MIN(H40,MIN(N($E40)*Paramètres!$C$18,Paramètres!$D$18))</f>
        <v>64068</v>
      </c>
      <c r="M40" s="57" t="n">
        <f aca="false">MIN(N($E40),Paramètres!$C$7)*Paramètres!$C$6</f>
        <v>11745.965</v>
      </c>
      <c r="N40" s="57" t="n">
        <f aca="false">MIN(M40,I40*Paramètres!$C$8)</f>
        <v>11745.965</v>
      </c>
      <c r="O40" s="57" t="n">
        <f aca="false">I40*IF(K40="Cadre supérieur",Paramètres!$C$10,Paramètres!$C$9)</f>
        <v>37373.75</v>
      </c>
      <c r="P40" s="57" t="n">
        <f aca="false">MAX(0,ROUNDDOWN(N($E40)-L40-N40-O40,-2))</f>
        <v>100300</v>
      </c>
      <c r="Q40" s="57" t="n">
        <f aca="false">SUMPRODUCT((P40&gt;Paramètres!$B$21:$B$27)*(P40-Paramètres!$B$21:$B$27)*Paramètres!$E$21:$E$27)</f>
        <v>9777.1</v>
      </c>
      <c r="R40" s="57" t="n">
        <f aca="false">Q40*INDEX(Paramètres!$C$31:$C$38,MIN(MAX(INT(N(J40)),0),7)+1)</f>
        <v>0</v>
      </c>
      <c r="S40" s="60" t="n">
        <f aca="false">ROUND(Q40-R40,0)</f>
        <v>9777</v>
      </c>
      <c r="T40" s="57" t="n">
        <f aca="false">ROUND(N($E40)*Paramètres!$C$13,0)</f>
        <v>6407</v>
      </c>
      <c r="U40" s="57" t="n">
        <f aca="false">ROUND(MAX(0,N($E40)-(Q40-R40)-M40)*Paramètres!$C$12,0)</f>
        <v>1920</v>
      </c>
      <c r="V40" s="60" t="n">
        <f aca="false">ROUND(N($E40)-M40-S40-U40,0)</f>
        <v>190120</v>
      </c>
    </row>
    <row r="41" customFormat="false" ht="17.25" hidden="false" customHeight="true" outlineLevel="0" collapsed="false">
      <c r="B41" s="53" t="n">
        <v>32</v>
      </c>
      <c r="C41" s="54" t="s">
        <v>47</v>
      </c>
      <c r="D41" s="55" t="n">
        <v>46252</v>
      </c>
      <c r="E41" s="56" t="n">
        <f aca="false">'Juill-aout-sept 2026'!G39</f>
        <v>135983</v>
      </c>
      <c r="F41" s="57" t="n">
        <f aca="false">MIN(ROUNDDOWN(N($E41)*Paramètres!$C$16,0),Paramètres!$D$16)</f>
        <v>27196</v>
      </c>
      <c r="G41" s="57" t="n">
        <f aca="false">MIN(ROUNDDOWN(N($E41)*Paramètres!$C$17,0),Paramètres!$D$17)</f>
        <v>6799</v>
      </c>
      <c r="H41" s="57" t="n">
        <f aca="false">MIN(ROUNDDOWN(N($E41)*Paramètres!$C$18,0),Paramètres!$D$18)</f>
        <v>6799</v>
      </c>
      <c r="I41" s="57" t="n">
        <f aca="false">N($E41)-(F41+G41+H41)</f>
        <v>95189</v>
      </c>
      <c r="J41" s="58" t="n">
        <v>0</v>
      </c>
      <c r="K41" s="59" t="str">
        <f aca="false">IF(I41&lt;Paramètres!$C$11,"Cadre inférieur","Cadre supérieur")</f>
        <v>Cadre inférieur</v>
      </c>
      <c r="L41" s="57" t="n">
        <f aca="false">MIN(F41,MIN(N($E41)*Paramètres!$C$16,Paramètres!$D$16))+MIN(G41,MIN(N($E41)*Paramètres!$C$17,Paramètres!$D$17))+MIN(H41,MIN(N($E41)*Paramètres!$C$18,Paramètres!$D$18))</f>
        <v>40794</v>
      </c>
      <c r="M41" s="57" t="n">
        <f aca="false">MIN(N($E41),Paramètres!$C$7)*Paramètres!$C$6</f>
        <v>7479.065</v>
      </c>
      <c r="N41" s="57" t="n">
        <f aca="false">MIN(M41,I41*Paramètres!$C$8)</f>
        <v>7479.065</v>
      </c>
      <c r="O41" s="57" t="n">
        <f aca="false">I41*IF(K41="Cadre supérieur",Paramètres!$C$10,Paramètres!$C$9)</f>
        <v>23797.25</v>
      </c>
      <c r="P41" s="57" t="n">
        <f aca="false">MAX(0,ROUNDDOWN(N($E41)-L41-N41-O41,-2))</f>
        <v>63900</v>
      </c>
      <c r="Q41" s="57" t="n">
        <f aca="false">SUMPRODUCT((P41&gt;Paramètres!$B$21:$B$27)*(P41-Paramètres!$B$21:$B$27)*Paramètres!$E$21:$E$27)</f>
        <v>4352.1</v>
      </c>
      <c r="R41" s="57" t="n">
        <f aca="false">Q41*INDEX(Paramètres!$C$31:$C$38,MIN(MAX(INT(N(J41)),0),7)+1)</f>
        <v>0</v>
      </c>
      <c r="S41" s="60" t="n">
        <f aca="false">ROUND(Q41-R41,0)</f>
        <v>4352</v>
      </c>
      <c r="T41" s="57" t="n">
        <f aca="false">ROUND(N($E41)*Paramètres!$C$13,0)</f>
        <v>4079</v>
      </c>
      <c r="U41" s="57" t="n">
        <f aca="false">ROUND(MAX(0,N($E41)-(Q41-R41)-M41)*Paramètres!$C$12,0)</f>
        <v>1242</v>
      </c>
      <c r="V41" s="60" t="n">
        <f aca="false">ROUND(N($E41)-M41-S41-U41,0)</f>
        <v>122910</v>
      </c>
    </row>
    <row r="42" customFormat="false" ht="17.25" hidden="false" customHeight="true" outlineLevel="0" collapsed="false">
      <c r="B42" s="53" t="n">
        <v>33</v>
      </c>
      <c r="C42" s="54" t="s">
        <v>48</v>
      </c>
      <c r="D42" s="55" t="n">
        <v>46023</v>
      </c>
      <c r="E42" s="56" t="n">
        <f aca="false">'Juill-aout-sept 2026'!G40</f>
        <v>213566</v>
      </c>
      <c r="F42" s="57" t="n">
        <f aca="false">MIN(ROUNDDOWN(N($E42)*Paramètres!$C$16,0),Paramètres!$D$16)</f>
        <v>42713</v>
      </c>
      <c r="G42" s="57" t="n">
        <f aca="false">MIN(ROUNDDOWN(N($E42)*Paramètres!$C$17,0),Paramètres!$D$17)</f>
        <v>10678</v>
      </c>
      <c r="H42" s="57" t="n">
        <f aca="false">MIN(ROUNDDOWN(N($E42)*Paramètres!$C$18,0),Paramètres!$D$18)</f>
        <v>10678</v>
      </c>
      <c r="I42" s="57" t="n">
        <f aca="false">N($E42)-(F42+G42+H42)</f>
        <v>149497</v>
      </c>
      <c r="J42" s="58" t="n">
        <v>0</v>
      </c>
      <c r="K42" s="59" t="str">
        <f aca="false">IF(I42&lt;Paramètres!$C$11,"Cadre inférieur","Cadre supérieur")</f>
        <v>Cadre inférieur</v>
      </c>
      <c r="L42" s="57" t="n">
        <f aca="false">MIN(F42,MIN(N($E42)*Paramètres!$C$16,Paramètres!$D$16))+MIN(G42,MIN(N($E42)*Paramètres!$C$17,Paramètres!$D$17))+MIN(H42,MIN(N($E42)*Paramètres!$C$18,Paramètres!$D$18))</f>
        <v>64069</v>
      </c>
      <c r="M42" s="57" t="n">
        <f aca="false">MIN(N($E42),Paramètres!$C$7)*Paramètres!$C$6</f>
        <v>11746.13</v>
      </c>
      <c r="N42" s="57" t="n">
        <f aca="false">MIN(M42,I42*Paramètres!$C$8)</f>
        <v>11746.13</v>
      </c>
      <c r="O42" s="57" t="n">
        <f aca="false">I42*IF(K42="Cadre supérieur",Paramètres!$C$10,Paramètres!$C$9)</f>
        <v>37374.25</v>
      </c>
      <c r="P42" s="57" t="n">
        <f aca="false">MAX(0,ROUNDDOWN(N($E42)-L42-N42-O42,-2))</f>
        <v>100300</v>
      </c>
      <c r="Q42" s="57" t="n">
        <f aca="false">SUMPRODUCT((P42&gt;Paramètres!$B$21:$B$27)*(P42-Paramètres!$B$21:$B$27)*Paramètres!$E$21:$E$27)</f>
        <v>9777.1</v>
      </c>
      <c r="R42" s="57" t="n">
        <f aca="false">Q42*INDEX(Paramètres!$C$31:$C$38,MIN(MAX(INT(N(J42)),0),7)+1)</f>
        <v>0</v>
      </c>
      <c r="S42" s="60" t="n">
        <f aca="false">ROUND(Q42-R42,0)</f>
        <v>9777</v>
      </c>
      <c r="T42" s="57" t="n">
        <f aca="false">ROUND(N($E42)*Paramètres!$C$13,0)</f>
        <v>6407</v>
      </c>
      <c r="U42" s="57" t="n">
        <f aca="false">ROUND(MAX(0,N($E42)-(Q42-R42)-M42)*Paramètres!$C$12,0)</f>
        <v>1920</v>
      </c>
      <c r="V42" s="60" t="n">
        <f aca="false">ROUND(N($E42)-M42-S42-U42,0)</f>
        <v>190123</v>
      </c>
    </row>
    <row r="43" customFormat="false" ht="17.25" hidden="false" customHeight="true" outlineLevel="0" collapsed="false">
      <c r="B43" s="53" t="n">
        <v>34</v>
      </c>
      <c r="C43" s="54" t="s">
        <v>49</v>
      </c>
      <c r="D43" s="55" t="n">
        <v>46220</v>
      </c>
      <c r="E43" s="56" t="n">
        <f aca="false">'Juill-aout-sept 2026'!G41</f>
        <v>256095</v>
      </c>
      <c r="F43" s="57" t="n">
        <f aca="false">MIN(ROUNDDOWN(N($E43)*Paramètres!$C$16,0),Paramètres!$D$16)</f>
        <v>51219</v>
      </c>
      <c r="G43" s="57" t="n">
        <f aca="false">MIN(ROUNDDOWN(N($E43)*Paramètres!$C$17,0),Paramètres!$D$17)</f>
        <v>12804</v>
      </c>
      <c r="H43" s="57" t="n">
        <f aca="false">MIN(ROUNDDOWN(N($E43)*Paramètres!$C$18,0),Paramètres!$D$18)</f>
        <v>12804</v>
      </c>
      <c r="I43" s="57" t="n">
        <f aca="false">N($E43)-(F43+G43+H43)</f>
        <v>179268</v>
      </c>
      <c r="J43" s="58" t="n">
        <v>0</v>
      </c>
      <c r="K43" s="59" t="str">
        <f aca="false">IF(I43&lt;Paramètres!$C$11,"Cadre inférieur","Cadre supérieur")</f>
        <v>Cadre supérieur</v>
      </c>
      <c r="L43" s="57" t="n">
        <f aca="false">MIN(F43,MIN(N($E43)*Paramètres!$C$16,Paramètres!$D$16))+MIN(G43,MIN(N($E43)*Paramètres!$C$17,Paramètres!$D$17))+MIN(H43,MIN(N($E43)*Paramètres!$C$18,Paramètres!$D$18))</f>
        <v>76827</v>
      </c>
      <c r="M43" s="57" t="n">
        <f aca="false">MIN(N($E43),Paramètres!$C$7)*Paramètres!$C$6</f>
        <v>14085.225</v>
      </c>
      <c r="N43" s="57" t="n">
        <f aca="false">MIN(M43,I43*Paramètres!$C$8)</f>
        <v>14085.225</v>
      </c>
      <c r="O43" s="57" t="n">
        <f aca="false">I43*IF(K43="Cadre supérieur",Paramètres!$C$10,Paramètres!$C$9)</f>
        <v>35853.6</v>
      </c>
      <c r="P43" s="57" t="n">
        <f aca="false">MAX(0,ROUNDDOWN(N($E43)-L43-N43-O43,-2))</f>
        <v>129300</v>
      </c>
      <c r="Q43" s="57" t="n">
        <f aca="false">SUMPRODUCT((P43&gt;Paramètres!$B$21:$B$27)*(P43-Paramètres!$B$21:$B$27)*Paramètres!$E$21:$E$27)</f>
        <v>14581.2</v>
      </c>
      <c r="R43" s="57" t="n">
        <f aca="false">Q43*INDEX(Paramètres!$C$31:$C$38,MIN(MAX(INT(N(J43)),0),7)+1)</f>
        <v>0</v>
      </c>
      <c r="S43" s="60" t="n">
        <f aca="false">ROUND(Q43-R43,0)</f>
        <v>14581</v>
      </c>
      <c r="T43" s="57" t="n">
        <f aca="false">ROUND(N($E43)*Paramètres!$C$13,0)</f>
        <v>7683</v>
      </c>
      <c r="U43" s="57" t="n">
        <f aca="false">ROUND(MAX(0,N($E43)-(Q43-R43)-M43)*Paramètres!$C$12,0)</f>
        <v>2274</v>
      </c>
      <c r="V43" s="60" t="n">
        <f aca="false">ROUND(N($E43)-M43-S43-U43,0)</f>
        <v>225155</v>
      </c>
    </row>
    <row r="44" customFormat="false" ht="17.25" hidden="false" customHeight="true" outlineLevel="0" collapsed="false">
      <c r="B44" s="53" t="n">
        <v>35</v>
      </c>
      <c r="C44" s="54" t="s">
        <v>50</v>
      </c>
      <c r="D44" s="55" t="n">
        <v>46068</v>
      </c>
      <c r="E44" s="56" t="n">
        <f aca="false">'Juill-aout-sept 2026'!G42</f>
        <v>135983</v>
      </c>
      <c r="F44" s="57" t="n">
        <f aca="false">MIN(ROUNDDOWN(N($E44)*Paramètres!$C$16,0),Paramètres!$D$16)</f>
        <v>27196</v>
      </c>
      <c r="G44" s="57" t="n">
        <f aca="false">MIN(ROUNDDOWN(N($E44)*Paramètres!$C$17,0),Paramètres!$D$17)</f>
        <v>6799</v>
      </c>
      <c r="H44" s="57" t="n">
        <f aca="false">MIN(ROUNDDOWN(N($E44)*Paramètres!$C$18,0),Paramètres!$D$18)</f>
        <v>6799</v>
      </c>
      <c r="I44" s="57" t="n">
        <f aca="false">N($E44)-(F44+G44+H44)</f>
        <v>95189</v>
      </c>
      <c r="J44" s="58" t="n">
        <v>0</v>
      </c>
      <c r="K44" s="59" t="str">
        <f aca="false">IF(I44&lt;Paramètres!$C$11,"Cadre inférieur","Cadre supérieur")</f>
        <v>Cadre inférieur</v>
      </c>
      <c r="L44" s="57" t="n">
        <f aca="false">MIN(F44,MIN(N($E44)*Paramètres!$C$16,Paramètres!$D$16))+MIN(G44,MIN(N($E44)*Paramètres!$C$17,Paramètres!$D$17))+MIN(H44,MIN(N($E44)*Paramètres!$C$18,Paramètres!$D$18))</f>
        <v>40794</v>
      </c>
      <c r="M44" s="57" t="n">
        <f aca="false">MIN(N($E44),Paramètres!$C$7)*Paramètres!$C$6</f>
        <v>7479.065</v>
      </c>
      <c r="N44" s="57" t="n">
        <f aca="false">MIN(M44,I44*Paramètres!$C$8)</f>
        <v>7479.065</v>
      </c>
      <c r="O44" s="57" t="n">
        <f aca="false">I44*IF(K44="Cadre supérieur",Paramètres!$C$10,Paramètres!$C$9)</f>
        <v>23797.25</v>
      </c>
      <c r="P44" s="57" t="n">
        <f aca="false">MAX(0,ROUNDDOWN(N($E44)-L44-N44-O44,-2))</f>
        <v>63900</v>
      </c>
      <c r="Q44" s="57" t="n">
        <f aca="false">SUMPRODUCT((P44&gt;Paramètres!$B$21:$B$27)*(P44-Paramètres!$B$21:$B$27)*Paramètres!$E$21:$E$27)</f>
        <v>4352.1</v>
      </c>
      <c r="R44" s="57" t="n">
        <f aca="false">Q44*INDEX(Paramètres!$C$31:$C$38,MIN(MAX(INT(N(J44)),0),7)+1)</f>
        <v>0</v>
      </c>
      <c r="S44" s="60" t="n">
        <f aca="false">ROUND(Q44-R44,0)</f>
        <v>4352</v>
      </c>
      <c r="T44" s="57" t="n">
        <f aca="false">ROUND(N($E44)*Paramètres!$C$13,0)</f>
        <v>4079</v>
      </c>
      <c r="U44" s="57" t="n">
        <f aca="false">ROUND(MAX(0,N($E44)-(Q44-R44)-M44)*Paramètres!$C$12,0)</f>
        <v>1242</v>
      </c>
      <c r="V44" s="60" t="n">
        <f aca="false">ROUND(N($E44)-M44-S44-U44,0)</f>
        <v>122910</v>
      </c>
    </row>
    <row r="45" customFormat="false" ht="17.25" hidden="false" customHeight="true" outlineLevel="0" collapsed="false">
      <c r="B45" s="53" t="n">
        <v>36</v>
      </c>
      <c r="C45" s="54" t="s">
        <v>51</v>
      </c>
      <c r="D45" s="55" t="n">
        <v>46219</v>
      </c>
      <c r="E45" s="56" t="n">
        <f aca="false">'Juill-aout-sept 2026'!G43</f>
        <v>177387</v>
      </c>
      <c r="F45" s="57" t="n">
        <f aca="false">MIN(ROUNDDOWN(N($E45)*Paramètres!$C$16,0),Paramètres!$D$16)</f>
        <v>35477</v>
      </c>
      <c r="G45" s="57" t="n">
        <f aca="false">MIN(ROUNDDOWN(N($E45)*Paramètres!$C$17,0),Paramètres!$D$17)</f>
        <v>8869</v>
      </c>
      <c r="H45" s="57" t="n">
        <f aca="false">MIN(ROUNDDOWN(N($E45)*Paramètres!$C$18,0),Paramètres!$D$18)</f>
        <v>8869</v>
      </c>
      <c r="I45" s="57" t="n">
        <f aca="false">N($E45)-(F45+G45+H45)</f>
        <v>124172</v>
      </c>
      <c r="J45" s="58" t="n">
        <v>0</v>
      </c>
      <c r="K45" s="59" t="str">
        <f aca="false">IF(I45&lt;Paramètres!$C$11,"Cadre inférieur","Cadre supérieur")</f>
        <v>Cadre inférieur</v>
      </c>
      <c r="L45" s="57" t="n">
        <f aca="false">MIN(F45,MIN(N($E45)*Paramètres!$C$16,Paramètres!$D$16))+MIN(G45,MIN(N($E45)*Paramètres!$C$17,Paramètres!$D$17))+MIN(H45,MIN(N($E45)*Paramètres!$C$18,Paramètres!$D$18))</f>
        <v>53215</v>
      </c>
      <c r="M45" s="57" t="n">
        <f aca="false">MIN(N($E45),Paramètres!$C$7)*Paramètres!$C$6</f>
        <v>9756.285</v>
      </c>
      <c r="N45" s="57" t="n">
        <f aca="false">MIN(M45,I45*Paramètres!$C$8)</f>
        <v>9756.285</v>
      </c>
      <c r="O45" s="57" t="n">
        <f aca="false">I45*IF(K45="Cadre supérieur",Paramètres!$C$10,Paramètres!$C$9)</f>
        <v>31043</v>
      </c>
      <c r="P45" s="57" t="n">
        <f aca="false">MAX(0,ROUNDDOWN(N($E45)-L45-N45-O45,-2))</f>
        <v>83300</v>
      </c>
      <c r="Q45" s="57" t="n">
        <f aca="false">SUMPRODUCT((P45&gt;Paramètres!$B$21:$B$27)*(P45-Paramètres!$B$21:$B$27)*Paramètres!$E$21:$E$27)</f>
        <v>7108.1</v>
      </c>
      <c r="R45" s="57" t="n">
        <f aca="false">Q45*INDEX(Paramètres!$C$31:$C$38,MIN(MAX(INT(N(J45)),0),7)+1)</f>
        <v>0</v>
      </c>
      <c r="S45" s="60" t="n">
        <f aca="false">ROUND(Q45-R45,0)</f>
        <v>7108</v>
      </c>
      <c r="T45" s="57" t="n">
        <f aca="false">ROUND(N($E45)*Paramètres!$C$13,0)</f>
        <v>5322</v>
      </c>
      <c r="U45" s="57" t="n">
        <f aca="false">ROUND(MAX(0,N($E45)-(Q45-R45)-M45)*Paramètres!$C$12,0)</f>
        <v>1605</v>
      </c>
      <c r="V45" s="60" t="n">
        <f aca="false">ROUND(N($E45)-M45-S45-U45,0)</f>
        <v>158918</v>
      </c>
    </row>
    <row r="46" customFormat="false" ht="17.25" hidden="false" customHeight="true" outlineLevel="0" collapsed="false">
      <c r="B46" s="53" t="n">
        <v>37</v>
      </c>
      <c r="C46" s="54" t="s">
        <v>52</v>
      </c>
      <c r="D46" s="55" t="n">
        <v>44562</v>
      </c>
      <c r="E46" s="56" t="n">
        <f aca="false">'Juill-aout-sept 2026'!G44</f>
        <v>866830</v>
      </c>
      <c r="F46" s="57" t="n">
        <f aca="false">MIN(ROUNDDOWN(N($E46)*Paramètres!$C$16,0),Paramètres!$D$16)</f>
        <v>75000</v>
      </c>
      <c r="G46" s="57" t="n">
        <f aca="false">MIN(ROUNDDOWN(N($E46)*Paramètres!$C$17,0),Paramètres!$D$17)</f>
        <v>30000</v>
      </c>
      <c r="H46" s="57" t="n">
        <f aca="false">MIN(ROUNDDOWN(N($E46)*Paramètres!$C$18,0),Paramètres!$D$18)</f>
        <v>43341</v>
      </c>
      <c r="I46" s="57" t="n">
        <f aca="false">N($E46)-(F46+G46+H46)</f>
        <v>718489</v>
      </c>
      <c r="J46" s="58" t="n">
        <v>0</v>
      </c>
      <c r="K46" s="59" t="str">
        <f aca="false">IF(I46&lt;Paramètres!$C$11,"Cadre inférieur","Cadre supérieur")</f>
        <v>Cadre supérieur</v>
      </c>
      <c r="L46" s="57" t="n">
        <f aca="false">MIN(F46,MIN(N($E46)*Paramètres!$C$16,Paramètres!$D$16))+MIN(G46,MIN(N($E46)*Paramètres!$C$17,Paramètres!$D$17))+MIN(H46,MIN(N($E46)*Paramètres!$C$18,Paramètres!$D$18))</f>
        <v>148341</v>
      </c>
      <c r="M46" s="57" t="n">
        <f aca="false">MIN(N($E46),Paramètres!$C$7)*Paramètres!$C$6</f>
        <v>44000</v>
      </c>
      <c r="N46" s="57" t="n">
        <f aca="false">MIN(M46,I46*Paramètres!$C$8)</f>
        <v>44000</v>
      </c>
      <c r="O46" s="57" t="n">
        <f aca="false">I46*IF(K46="Cadre supérieur",Paramètres!$C$10,Paramètres!$C$9)</f>
        <v>143697.8</v>
      </c>
      <c r="P46" s="57" t="n">
        <f aca="false">MAX(0,ROUNDDOWN(N($E46)-L46-N46-O46,-2))</f>
        <v>530700</v>
      </c>
      <c r="Q46" s="57" t="n">
        <f aca="false">SUMPRODUCT((P46&gt;Paramètres!$B$21:$B$27)*(P46-Paramètres!$B$21:$B$27)*Paramètres!$E$21:$E$27)</f>
        <v>109605</v>
      </c>
      <c r="R46" s="57" t="n">
        <f aca="false">Q46*INDEX(Paramètres!$C$31:$C$38,MIN(MAX(INT(N(J46)),0),7)+1)</f>
        <v>0</v>
      </c>
      <c r="S46" s="60" t="n">
        <f aca="false">ROUND(Q46-R46,0)</f>
        <v>109605</v>
      </c>
      <c r="T46" s="57" t="n">
        <f aca="false">ROUND(N($E46)*Paramètres!$C$13,0)</f>
        <v>26005</v>
      </c>
      <c r="U46" s="57" t="n">
        <f aca="false">ROUND(MAX(0,N($E46)-(Q46-R46)-M46)*Paramètres!$C$12,0)</f>
        <v>7132</v>
      </c>
      <c r="V46" s="60" t="n">
        <f aca="false">ROUND(N($E46)-M46-S46-U46,0)</f>
        <v>706093</v>
      </c>
    </row>
    <row r="47" customFormat="false" ht="17.25" hidden="false" customHeight="true" outlineLevel="0" collapsed="false">
      <c r="B47" s="53" t="n">
        <v>38</v>
      </c>
      <c r="C47" s="54" t="s">
        <v>53</v>
      </c>
      <c r="D47" s="55" t="n">
        <v>46213</v>
      </c>
      <c r="E47" s="56" t="n">
        <f aca="false">'Juill-aout-sept 2026'!G45</f>
        <v>177387</v>
      </c>
      <c r="F47" s="57" t="n">
        <f aca="false">MIN(ROUNDDOWN(N($E47)*Paramètres!$C$16,0),Paramètres!$D$16)</f>
        <v>35477</v>
      </c>
      <c r="G47" s="57" t="n">
        <f aca="false">MIN(ROUNDDOWN(N($E47)*Paramètres!$C$17,0),Paramètres!$D$17)</f>
        <v>8869</v>
      </c>
      <c r="H47" s="57" t="n">
        <f aca="false">MIN(ROUNDDOWN(N($E47)*Paramètres!$C$18,0),Paramètres!$D$18)</f>
        <v>8869</v>
      </c>
      <c r="I47" s="57" t="n">
        <f aca="false">N($E47)-(F47+G47+H47)</f>
        <v>124172</v>
      </c>
      <c r="J47" s="58" t="n">
        <v>0</v>
      </c>
      <c r="K47" s="59" t="str">
        <f aca="false">IF(I47&lt;Paramètres!$C$11,"Cadre inférieur","Cadre supérieur")</f>
        <v>Cadre inférieur</v>
      </c>
      <c r="L47" s="57" t="n">
        <f aca="false">MIN(F47,MIN(N($E47)*Paramètres!$C$16,Paramètres!$D$16))+MIN(G47,MIN(N($E47)*Paramètres!$C$17,Paramètres!$D$17))+MIN(H47,MIN(N($E47)*Paramètres!$C$18,Paramètres!$D$18))</f>
        <v>53215</v>
      </c>
      <c r="M47" s="57" t="n">
        <f aca="false">MIN(N($E47),Paramètres!$C$7)*Paramètres!$C$6</f>
        <v>9756.285</v>
      </c>
      <c r="N47" s="57" t="n">
        <f aca="false">MIN(M47,I47*Paramètres!$C$8)</f>
        <v>9756.285</v>
      </c>
      <c r="O47" s="57" t="n">
        <f aca="false">I47*IF(K47="Cadre supérieur",Paramètres!$C$10,Paramètres!$C$9)</f>
        <v>31043</v>
      </c>
      <c r="P47" s="57" t="n">
        <f aca="false">MAX(0,ROUNDDOWN(N($E47)-L47-N47-O47,-2))</f>
        <v>83300</v>
      </c>
      <c r="Q47" s="57" t="n">
        <f aca="false">SUMPRODUCT((P47&gt;Paramètres!$B$21:$B$27)*(P47-Paramètres!$B$21:$B$27)*Paramètres!$E$21:$E$27)</f>
        <v>7108.1</v>
      </c>
      <c r="R47" s="57" t="n">
        <f aca="false">Q47*INDEX(Paramètres!$C$31:$C$38,MIN(MAX(INT(N(J47)),0),7)+1)</f>
        <v>0</v>
      </c>
      <c r="S47" s="60" t="n">
        <f aca="false">ROUND(Q47-R47,0)</f>
        <v>7108</v>
      </c>
      <c r="T47" s="57" t="n">
        <f aca="false">ROUND(N($E47)*Paramètres!$C$13,0)</f>
        <v>5322</v>
      </c>
      <c r="U47" s="57" t="n">
        <f aca="false">ROUND(MAX(0,N($E47)-(Q47-R47)-M47)*Paramètres!$C$12,0)</f>
        <v>1605</v>
      </c>
      <c r="V47" s="60" t="n">
        <f aca="false">ROUND(N($E47)-M47-S47-U47,0)</f>
        <v>158918</v>
      </c>
    </row>
    <row r="48" customFormat="false" ht="17.25" hidden="false" customHeight="true" outlineLevel="0" collapsed="false">
      <c r="B48" s="53" t="n">
        <v>39</v>
      </c>
      <c r="C48" s="54" t="s">
        <v>54</v>
      </c>
      <c r="D48" s="55" t="n">
        <v>46218</v>
      </c>
      <c r="E48" s="56" t="n">
        <f aca="false">'Juill-aout-sept 2026'!G46</f>
        <v>177387</v>
      </c>
      <c r="F48" s="57" t="n">
        <f aca="false">MIN(ROUNDDOWN(N($E48)*Paramètres!$C$16,0),Paramètres!$D$16)</f>
        <v>35477</v>
      </c>
      <c r="G48" s="57" t="n">
        <f aca="false">MIN(ROUNDDOWN(N($E48)*Paramètres!$C$17,0),Paramètres!$D$17)</f>
        <v>8869</v>
      </c>
      <c r="H48" s="57" t="n">
        <f aca="false">MIN(ROUNDDOWN(N($E48)*Paramètres!$C$18,0),Paramètres!$D$18)</f>
        <v>8869</v>
      </c>
      <c r="I48" s="57" t="n">
        <f aca="false">N($E48)-(F48+G48+H48)</f>
        <v>124172</v>
      </c>
      <c r="J48" s="58" t="n">
        <v>0</v>
      </c>
      <c r="K48" s="59" t="str">
        <f aca="false">IF(I48&lt;Paramètres!$C$11,"Cadre inférieur","Cadre supérieur")</f>
        <v>Cadre inférieur</v>
      </c>
      <c r="L48" s="57" t="n">
        <f aca="false">MIN(F48,MIN(N($E48)*Paramètres!$C$16,Paramètres!$D$16))+MIN(G48,MIN(N($E48)*Paramètres!$C$17,Paramètres!$D$17))+MIN(H48,MIN(N($E48)*Paramètres!$C$18,Paramètres!$D$18))</f>
        <v>53215</v>
      </c>
      <c r="M48" s="57" t="n">
        <f aca="false">MIN(N($E48),Paramètres!$C$7)*Paramètres!$C$6</f>
        <v>9756.285</v>
      </c>
      <c r="N48" s="57" t="n">
        <f aca="false">MIN(M48,I48*Paramètres!$C$8)</f>
        <v>9756.285</v>
      </c>
      <c r="O48" s="57" t="n">
        <f aca="false">I48*IF(K48="Cadre supérieur",Paramètres!$C$10,Paramètres!$C$9)</f>
        <v>31043</v>
      </c>
      <c r="P48" s="57" t="n">
        <f aca="false">MAX(0,ROUNDDOWN(N($E48)-L48-N48-O48,-2))</f>
        <v>83300</v>
      </c>
      <c r="Q48" s="57" t="n">
        <f aca="false">SUMPRODUCT((P48&gt;Paramètres!$B$21:$B$27)*(P48-Paramètres!$B$21:$B$27)*Paramètres!$E$21:$E$27)</f>
        <v>7108.1</v>
      </c>
      <c r="R48" s="57" t="n">
        <f aca="false">Q48*INDEX(Paramètres!$C$31:$C$38,MIN(MAX(INT(N(J48)),0),7)+1)</f>
        <v>0</v>
      </c>
      <c r="S48" s="60" t="n">
        <f aca="false">ROUND(Q48-R48,0)</f>
        <v>7108</v>
      </c>
      <c r="T48" s="57" t="n">
        <f aca="false">ROUND(N($E48)*Paramètres!$C$13,0)</f>
        <v>5322</v>
      </c>
      <c r="U48" s="57" t="n">
        <f aca="false">ROUND(MAX(0,N($E48)-(Q48-R48)-M48)*Paramètres!$C$12,0)</f>
        <v>1605</v>
      </c>
      <c r="V48" s="60" t="n">
        <f aca="false">ROUND(N($E48)-M48-S48-U48,0)</f>
        <v>158918</v>
      </c>
    </row>
    <row r="49" customFormat="false" ht="17.25" hidden="false" customHeight="true" outlineLevel="0" collapsed="false">
      <c r="B49" s="53" t="n">
        <v>40</v>
      </c>
      <c r="C49" s="54" t="s">
        <v>55</v>
      </c>
      <c r="D49" s="55" t="n">
        <v>46144</v>
      </c>
      <c r="E49" s="56" t="n">
        <f aca="false">'Juill-aout-sept 2026'!G47</f>
        <v>108397</v>
      </c>
      <c r="F49" s="57" t="n">
        <f aca="false">MIN(ROUNDDOWN(N($E49)*Paramètres!$C$16,0),Paramètres!$D$16)</f>
        <v>21679</v>
      </c>
      <c r="G49" s="57" t="n">
        <f aca="false">MIN(ROUNDDOWN(N($E49)*Paramètres!$C$17,0),Paramètres!$D$17)</f>
        <v>5419</v>
      </c>
      <c r="H49" s="57" t="n">
        <f aca="false">MIN(ROUNDDOWN(N($E49)*Paramètres!$C$18,0),Paramètres!$D$18)</f>
        <v>5419</v>
      </c>
      <c r="I49" s="57" t="n">
        <f aca="false">N($E49)-(F49+G49+H49)</f>
        <v>75880</v>
      </c>
      <c r="J49" s="58" t="n">
        <v>0</v>
      </c>
      <c r="K49" s="59" t="str">
        <f aca="false">IF(I49&lt;Paramètres!$C$11,"Cadre inférieur","Cadre supérieur")</f>
        <v>Cadre inférieur</v>
      </c>
      <c r="L49" s="57" t="n">
        <f aca="false">MIN(F49,MIN(N($E49)*Paramètres!$C$16,Paramètres!$D$16))+MIN(G49,MIN(N($E49)*Paramètres!$C$17,Paramètres!$D$17))+MIN(H49,MIN(N($E49)*Paramètres!$C$18,Paramètres!$D$18))</f>
        <v>32517</v>
      </c>
      <c r="M49" s="57" t="n">
        <f aca="false">MIN(N($E49),Paramètres!$C$7)*Paramètres!$C$6</f>
        <v>5961.835</v>
      </c>
      <c r="N49" s="57" t="n">
        <f aca="false">MIN(M49,I49*Paramètres!$C$8)</f>
        <v>5961.835</v>
      </c>
      <c r="O49" s="57" t="n">
        <f aca="false">I49*IF(K49="Cadre supérieur",Paramètres!$C$10,Paramètres!$C$9)</f>
        <v>18970</v>
      </c>
      <c r="P49" s="57" t="n">
        <f aca="false">MAX(0,ROUNDDOWN(N($E49)-L49-N49-O49,-2))</f>
        <v>50900</v>
      </c>
      <c r="Q49" s="57" t="n">
        <f aca="false">SUMPRODUCT((P49&gt;Paramètres!$B$21:$B$27)*(P49-Paramètres!$B$21:$B$27)*Paramètres!$E$21:$E$27)</f>
        <v>2545.1</v>
      </c>
      <c r="R49" s="57" t="n">
        <f aca="false">Q49*INDEX(Paramètres!$C$31:$C$38,MIN(MAX(INT(N(J49)),0),7)+1)</f>
        <v>0</v>
      </c>
      <c r="S49" s="60" t="n">
        <f aca="false">ROUND(Q49-R49,0)</f>
        <v>2545</v>
      </c>
      <c r="T49" s="57" t="n">
        <f aca="false">ROUND(N($E49)*Paramètres!$C$13,0)</f>
        <v>3252</v>
      </c>
      <c r="U49" s="57" t="n">
        <f aca="false">ROUND(MAX(0,N($E49)-(Q49-R49)-M49)*Paramètres!$C$12,0)</f>
        <v>999</v>
      </c>
      <c r="V49" s="60" t="n">
        <f aca="false">ROUND(N($E49)-M49-S49-U49,0)</f>
        <v>98891</v>
      </c>
    </row>
    <row r="50" customFormat="false" ht="17.25" hidden="false" customHeight="true" outlineLevel="0" collapsed="false">
      <c r="B50" s="53" t="n">
        <v>41</v>
      </c>
      <c r="C50" s="54" t="s">
        <v>56</v>
      </c>
      <c r="D50" s="55"/>
      <c r="E50" s="56" t="n">
        <f aca="false">'Juill-aout-sept 2026'!G48</f>
        <v>225778</v>
      </c>
      <c r="F50" s="57" t="n">
        <f aca="false">MIN(ROUNDDOWN(N($E50)*Paramètres!$C$16,0),Paramètres!$D$16)</f>
        <v>45155</v>
      </c>
      <c r="G50" s="57" t="n">
        <f aca="false">MIN(ROUNDDOWN(N($E50)*Paramètres!$C$17,0),Paramètres!$D$17)</f>
        <v>11288</v>
      </c>
      <c r="H50" s="57" t="n">
        <f aca="false">MIN(ROUNDDOWN(N($E50)*Paramètres!$C$18,0),Paramètres!$D$18)</f>
        <v>11288</v>
      </c>
      <c r="I50" s="57" t="n">
        <f aca="false">N($E50)-(F50+G50+H50)</f>
        <v>158047</v>
      </c>
      <c r="J50" s="58" t="n">
        <v>0</v>
      </c>
      <c r="K50" s="59" t="str">
        <f aca="false">IF(I50&lt;Paramètres!$C$11,"Cadre inférieur","Cadre supérieur")</f>
        <v>Cadre supérieur</v>
      </c>
      <c r="L50" s="57" t="n">
        <f aca="false">MIN(F50,MIN(N($E50)*Paramètres!$C$16,Paramètres!$D$16))+MIN(G50,MIN(N($E50)*Paramètres!$C$17,Paramètres!$D$17))+MIN(H50,MIN(N($E50)*Paramètres!$C$18,Paramètres!$D$18))</f>
        <v>67731</v>
      </c>
      <c r="M50" s="57" t="n">
        <f aca="false">MIN(N($E50),Paramètres!$C$7)*Paramètres!$C$6</f>
        <v>12417.79</v>
      </c>
      <c r="N50" s="57" t="n">
        <f aca="false">MIN(M50,I50*Paramètres!$C$8)</f>
        <v>12417.79</v>
      </c>
      <c r="O50" s="57" t="n">
        <f aca="false">I50*IF(K50="Cadre supérieur",Paramètres!$C$10,Paramètres!$C$9)</f>
        <v>31609.4</v>
      </c>
      <c r="P50" s="57" t="n">
        <f aca="false">MAX(0,ROUNDDOWN(N($E50)-L50-N50-O50,-2))</f>
        <v>114000</v>
      </c>
      <c r="Q50" s="57" t="n">
        <f aca="false">SUMPRODUCT((P50&gt;Paramètres!$B$21:$B$27)*(P50-Paramètres!$B$21:$B$27)*Paramètres!$E$21:$E$27)</f>
        <v>11928</v>
      </c>
      <c r="R50" s="57" t="n">
        <f aca="false">Q50*INDEX(Paramètres!$C$31:$C$38,MIN(MAX(INT(N(J50)),0),7)+1)</f>
        <v>0</v>
      </c>
      <c r="S50" s="60" t="n">
        <f aca="false">ROUND(Q50-R50,0)</f>
        <v>11928</v>
      </c>
      <c r="T50" s="57" t="n">
        <f aca="false">ROUND(N($E50)*Paramètres!$C$13,0)</f>
        <v>6773</v>
      </c>
      <c r="U50" s="57" t="n">
        <f aca="false">ROUND(MAX(0,N($E50)-(Q50-R50)-M50)*Paramètres!$C$12,0)</f>
        <v>2014</v>
      </c>
      <c r="V50" s="60" t="n">
        <f aca="false">ROUND(N($E50)-M50-S50-U50,0)</f>
        <v>199418</v>
      </c>
    </row>
    <row r="51" customFormat="false" ht="17.25" hidden="false" customHeight="true" outlineLevel="0" collapsed="false">
      <c r="B51" s="53" t="n">
        <v>42</v>
      </c>
      <c r="C51" s="54" t="s">
        <v>57</v>
      </c>
      <c r="D51" s="55" t="n">
        <v>46011</v>
      </c>
      <c r="E51" s="56" t="n">
        <f aca="false">'Juill-aout-sept 2026'!G49</f>
        <v>177387</v>
      </c>
      <c r="F51" s="57" t="n">
        <f aca="false">MIN(ROUNDDOWN(N($E51)*Paramètres!$C$16,0),Paramètres!$D$16)</f>
        <v>35477</v>
      </c>
      <c r="G51" s="57" t="n">
        <f aca="false">MIN(ROUNDDOWN(N($E51)*Paramètres!$C$17,0),Paramètres!$D$17)</f>
        <v>8869</v>
      </c>
      <c r="H51" s="57" t="n">
        <f aca="false">MIN(ROUNDDOWN(N($E51)*Paramètres!$C$18,0),Paramètres!$D$18)</f>
        <v>8869</v>
      </c>
      <c r="I51" s="57" t="n">
        <f aca="false">N($E51)-(F51+G51+H51)</f>
        <v>124172</v>
      </c>
      <c r="J51" s="58" t="n">
        <v>0</v>
      </c>
      <c r="K51" s="59" t="str">
        <f aca="false">IF(I51&lt;Paramètres!$C$11,"Cadre inférieur","Cadre supérieur")</f>
        <v>Cadre inférieur</v>
      </c>
      <c r="L51" s="57" t="n">
        <f aca="false">MIN(F51,MIN(N($E51)*Paramètres!$C$16,Paramètres!$D$16))+MIN(G51,MIN(N($E51)*Paramètres!$C$17,Paramètres!$D$17))+MIN(H51,MIN(N($E51)*Paramètres!$C$18,Paramètres!$D$18))</f>
        <v>53215</v>
      </c>
      <c r="M51" s="57" t="n">
        <f aca="false">MIN(N($E51),Paramètres!$C$7)*Paramètres!$C$6</f>
        <v>9756.285</v>
      </c>
      <c r="N51" s="57" t="n">
        <f aca="false">MIN(M51,I51*Paramètres!$C$8)</f>
        <v>9756.285</v>
      </c>
      <c r="O51" s="57" t="n">
        <f aca="false">I51*IF(K51="Cadre supérieur",Paramètres!$C$10,Paramètres!$C$9)</f>
        <v>31043</v>
      </c>
      <c r="P51" s="57" t="n">
        <f aca="false">MAX(0,ROUNDDOWN(N($E51)-L51-N51-O51,-2))</f>
        <v>83300</v>
      </c>
      <c r="Q51" s="57" t="n">
        <f aca="false">SUMPRODUCT((P51&gt;Paramètres!$B$21:$B$27)*(P51-Paramètres!$B$21:$B$27)*Paramètres!$E$21:$E$27)</f>
        <v>7108.1</v>
      </c>
      <c r="R51" s="57" t="n">
        <f aca="false">Q51*INDEX(Paramètres!$C$31:$C$38,MIN(MAX(INT(N(J51)),0),7)+1)</f>
        <v>0</v>
      </c>
      <c r="S51" s="60" t="n">
        <f aca="false">ROUND(Q51-R51,0)</f>
        <v>7108</v>
      </c>
      <c r="T51" s="57" t="n">
        <f aca="false">ROUND(N($E51)*Paramètres!$C$13,0)</f>
        <v>5322</v>
      </c>
      <c r="U51" s="57" t="n">
        <f aca="false">ROUND(MAX(0,N($E51)-(Q51-R51)-M51)*Paramètres!$C$12,0)</f>
        <v>1605</v>
      </c>
      <c r="V51" s="60" t="n">
        <f aca="false">ROUND(N($E51)-M51-S51-U51,0)</f>
        <v>158918</v>
      </c>
    </row>
    <row r="52" customFormat="false" ht="17.25" hidden="false" customHeight="true" outlineLevel="0" collapsed="false">
      <c r="B52" s="53" t="n">
        <v>43</v>
      </c>
      <c r="C52" s="54" t="s">
        <v>58</v>
      </c>
      <c r="D52" s="55" t="n">
        <v>46183</v>
      </c>
      <c r="E52" s="56" t="n">
        <f aca="false">'Juill-aout-sept 2026'!G50</f>
        <v>177387</v>
      </c>
      <c r="F52" s="57" t="n">
        <f aca="false">MIN(ROUNDDOWN(N($E52)*Paramètres!$C$16,0),Paramètres!$D$16)</f>
        <v>35477</v>
      </c>
      <c r="G52" s="57" t="n">
        <f aca="false">MIN(ROUNDDOWN(N($E52)*Paramètres!$C$17,0),Paramètres!$D$17)</f>
        <v>8869</v>
      </c>
      <c r="H52" s="57" t="n">
        <f aca="false">MIN(ROUNDDOWN(N($E52)*Paramètres!$C$18,0),Paramètres!$D$18)</f>
        <v>8869</v>
      </c>
      <c r="I52" s="57" t="n">
        <f aca="false">N($E52)-(F52+G52+H52)</f>
        <v>124172</v>
      </c>
      <c r="J52" s="58" t="n">
        <v>0</v>
      </c>
      <c r="K52" s="59" t="str">
        <f aca="false">IF(I52&lt;Paramètres!$C$11,"Cadre inférieur","Cadre supérieur")</f>
        <v>Cadre inférieur</v>
      </c>
      <c r="L52" s="57" t="n">
        <f aca="false">MIN(F52,MIN(N($E52)*Paramètres!$C$16,Paramètres!$D$16))+MIN(G52,MIN(N($E52)*Paramètres!$C$17,Paramètres!$D$17))+MIN(H52,MIN(N($E52)*Paramètres!$C$18,Paramètres!$D$18))</f>
        <v>53215</v>
      </c>
      <c r="M52" s="57" t="n">
        <f aca="false">MIN(N($E52),Paramètres!$C$7)*Paramètres!$C$6</f>
        <v>9756.285</v>
      </c>
      <c r="N52" s="57" t="n">
        <f aca="false">MIN(M52,I52*Paramètres!$C$8)</f>
        <v>9756.285</v>
      </c>
      <c r="O52" s="57" t="n">
        <f aca="false">I52*IF(K52="Cadre supérieur",Paramètres!$C$10,Paramètres!$C$9)</f>
        <v>31043</v>
      </c>
      <c r="P52" s="57" t="n">
        <f aca="false">MAX(0,ROUNDDOWN(N($E52)-L52-N52-O52,-2))</f>
        <v>83300</v>
      </c>
      <c r="Q52" s="57" t="n">
        <f aca="false">SUMPRODUCT((P52&gt;Paramètres!$B$21:$B$27)*(P52-Paramètres!$B$21:$B$27)*Paramètres!$E$21:$E$27)</f>
        <v>7108.1</v>
      </c>
      <c r="R52" s="57" t="n">
        <f aca="false">Q52*INDEX(Paramètres!$C$31:$C$38,MIN(MAX(INT(N(J52)),0),7)+1)</f>
        <v>0</v>
      </c>
      <c r="S52" s="60" t="n">
        <f aca="false">ROUND(Q52-R52,0)</f>
        <v>7108</v>
      </c>
      <c r="T52" s="57" t="n">
        <f aca="false">ROUND(N($E52)*Paramètres!$C$13,0)</f>
        <v>5322</v>
      </c>
      <c r="U52" s="57" t="n">
        <f aca="false">ROUND(MAX(0,N($E52)-(Q52-R52)-M52)*Paramètres!$C$12,0)</f>
        <v>1605</v>
      </c>
      <c r="V52" s="60" t="n">
        <f aca="false">ROUND(N($E52)-M52-S52-U52,0)</f>
        <v>158918</v>
      </c>
    </row>
    <row r="53" customFormat="false" ht="17.25" hidden="false" customHeight="true" outlineLevel="0" collapsed="false">
      <c r="B53" s="53" t="n">
        <v>44</v>
      </c>
      <c r="C53" s="54" t="s">
        <v>59</v>
      </c>
      <c r="D53" s="55" t="n">
        <v>45784</v>
      </c>
      <c r="E53" s="56" t="n">
        <f aca="false">'Juill-aout-sept 2026'!G51</f>
        <v>108397</v>
      </c>
      <c r="F53" s="57" t="n">
        <f aca="false">MIN(ROUNDDOWN(N($E53)*Paramètres!$C$16,0),Paramètres!$D$16)</f>
        <v>21679</v>
      </c>
      <c r="G53" s="57" t="n">
        <f aca="false">MIN(ROUNDDOWN(N($E53)*Paramètres!$C$17,0),Paramètres!$D$17)</f>
        <v>5419</v>
      </c>
      <c r="H53" s="57" t="n">
        <f aca="false">MIN(ROUNDDOWN(N($E53)*Paramètres!$C$18,0),Paramètres!$D$18)</f>
        <v>5419</v>
      </c>
      <c r="I53" s="57" t="n">
        <f aca="false">N($E53)-(F53+G53+H53)</f>
        <v>75880</v>
      </c>
      <c r="J53" s="58" t="n">
        <v>0</v>
      </c>
      <c r="K53" s="59" t="str">
        <f aca="false">IF(I53&lt;Paramètres!$C$11,"Cadre inférieur","Cadre supérieur")</f>
        <v>Cadre inférieur</v>
      </c>
      <c r="L53" s="57" t="n">
        <f aca="false">MIN(F53,MIN(N($E53)*Paramètres!$C$16,Paramètres!$D$16))+MIN(G53,MIN(N($E53)*Paramètres!$C$17,Paramètres!$D$17))+MIN(H53,MIN(N($E53)*Paramètres!$C$18,Paramètres!$D$18))</f>
        <v>32517</v>
      </c>
      <c r="M53" s="57" t="n">
        <f aca="false">MIN(N($E53),Paramètres!$C$7)*Paramètres!$C$6</f>
        <v>5961.835</v>
      </c>
      <c r="N53" s="57" t="n">
        <f aca="false">MIN(M53,I53*Paramètres!$C$8)</f>
        <v>5961.835</v>
      </c>
      <c r="O53" s="57" t="n">
        <f aca="false">I53*IF(K53="Cadre supérieur",Paramètres!$C$10,Paramètres!$C$9)</f>
        <v>18970</v>
      </c>
      <c r="P53" s="57" t="n">
        <f aca="false">MAX(0,ROUNDDOWN(N($E53)-L53-N53-O53,-2))</f>
        <v>50900</v>
      </c>
      <c r="Q53" s="57" t="n">
        <f aca="false">SUMPRODUCT((P53&gt;Paramètres!$B$21:$B$27)*(P53-Paramètres!$B$21:$B$27)*Paramètres!$E$21:$E$27)</f>
        <v>2545.1</v>
      </c>
      <c r="R53" s="57" t="n">
        <f aca="false">Q53*INDEX(Paramètres!$C$31:$C$38,MIN(MAX(INT(N(J53)),0),7)+1)</f>
        <v>0</v>
      </c>
      <c r="S53" s="60" t="n">
        <f aca="false">ROUND(Q53-R53,0)</f>
        <v>2545</v>
      </c>
      <c r="T53" s="57" t="n">
        <f aca="false">ROUND(N($E53)*Paramètres!$C$13,0)</f>
        <v>3252</v>
      </c>
      <c r="U53" s="57" t="n">
        <f aca="false">ROUND(MAX(0,N($E53)-(Q53-R53)-M53)*Paramètres!$C$12,0)</f>
        <v>999</v>
      </c>
      <c r="V53" s="60" t="n">
        <f aca="false">ROUND(N($E53)-M53-S53-U53,0)</f>
        <v>98891</v>
      </c>
    </row>
    <row r="54" customFormat="false" ht="17.25" hidden="false" customHeight="true" outlineLevel="0" collapsed="false">
      <c r="B54" s="53" t="n">
        <v>45</v>
      </c>
      <c r="C54" s="54" t="s">
        <v>60</v>
      </c>
      <c r="D54" s="55" t="n">
        <v>46000</v>
      </c>
      <c r="E54" s="56" t="n">
        <f aca="false">'Juill-aout-sept 2026'!G52</f>
        <v>177387</v>
      </c>
      <c r="F54" s="57" t="n">
        <f aca="false">MIN(ROUNDDOWN(N($E54)*Paramètres!$C$16,0),Paramètres!$D$16)</f>
        <v>35477</v>
      </c>
      <c r="G54" s="57" t="n">
        <f aca="false">MIN(ROUNDDOWN(N($E54)*Paramètres!$C$17,0),Paramètres!$D$17)</f>
        <v>8869</v>
      </c>
      <c r="H54" s="57" t="n">
        <f aca="false">MIN(ROUNDDOWN(N($E54)*Paramètres!$C$18,0),Paramètres!$D$18)</f>
        <v>8869</v>
      </c>
      <c r="I54" s="57" t="n">
        <f aca="false">N($E54)-(F54+G54+H54)</f>
        <v>124172</v>
      </c>
      <c r="J54" s="58" t="n">
        <v>0</v>
      </c>
      <c r="K54" s="59" t="str">
        <f aca="false">IF(I54&lt;Paramètres!$C$11,"Cadre inférieur","Cadre supérieur")</f>
        <v>Cadre inférieur</v>
      </c>
      <c r="L54" s="57" t="n">
        <f aca="false">MIN(F54,MIN(N($E54)*Paramètres!$C$16,Paramètres!$D$16))+MIN(G54,MIN(N($E54)*Paramètres!$C$17,Paramètres!$D$17))+MIN(H54,MIN(N($E54)*Paramètres!$C$18,Paramètres!$D$18))</f>
        <v>53215</v>
      </c>
      <c r="M54" s="57" t="n">
        <f aca="false">MIN(N($E54),Paramètres!$C$7)*Paramètres!$C$6</f>
        <v>9756.285</v>
      </c>
      <c r="N54" s="57" t="n">
        <f aca="false">MIN(M54,I54*Paramètres!$C$8)</f>
        <v>9756.285</v>
      </c>
      <c r="O54" s="57" t="n">
        <f aca="false">I54*IF(K54="Cadre supérieur",Paramètres!$C$10,Paramètres!$C$9)</f>
        <v>31043</v>
      </c>
      <c r="P54" s="57" t="n">
        <f aca="false">MAX(0,ROUNDDOWN(N($E54)-L54-N54-O54,-2))</f>
        <v>83300</v>
      </c>
      <c r="Q54" s="57" t="n">
        <f aca="false">SUMPRODUCT((P54&gt;Paramètres!$B$21:$B$27)*(P54-Paramètres!$B$21:$B$27)*Paramètres!$E$21:$E$27)</f>
        <v>7108.1</v>
      </c>
      <c r="R54" s="57" t="n">
        <f aca="false">Q54*INDEX(Paramètres!$C$31:$C$38,MIN(MAX(INT(N(J54)),0),7)+1)</f>
        <v>0</v>
      </c>
      <c r="S54" s="60" t="n">
        <f aca="false">ROUND(Q54-R54,0)</f>
        <v>7108</v>
      </c>
      <c r="T54" s="57" t="n">
        <f aca="false">ROUND(N($E54)*Paramètres!$C$13,0)</f>
        <v>5322</v>
      </c>
      <c r="U54" s="57" t="n">
        <f aca="false">ROUND(MAX(0,N($E54)-(Q54-R54)-M54)*Paramètres!$C$12,0)</f>
        <v>1605</v>
      </c>
      <c r="V54" s="60" t="n">
        <f aca="false">ROUND(N($E54)-M54-S54-U54,0)</f>
        <v>158918</v>
      </c>
    </row>
    <row r="55" customFormat="false" ht="17.25" hidden="false" customHeight="true" outlineLevel="0" collapsed="false">
      <c r="B55" s="53" t="n">
        <v>46</v>
      </c>
      <c r="C55" s="54" t="s">
        <v>61</v>
      </c>
      <c r="D55" s="55" t="n">
        <v>46204</v>
      </c>
      <c r="E55" s="56" t="n">
        <f aca="false">'Juill-aout-sept 2026'!G53</f>
        <v>177387</v>
      </c>
      <c r="F55" s="57" t="n">
        <f aca="false">MIN(ROUNDDOWN(N($E55)*Paramètres!$C$16,0),Paramètres!$D$16)</f>
        <v>35477</v>
      </c>
      <c r="G55" s="57" t="n">
        <f aca="false">MIN(ROUNDDOWN(N($E55)*Paramètres!$C$17,0),Paramètres!$D$17)</f>
        <v>8869</v>
      </c>
      <c r="H55" s="57" t="n">
        <f aca="false">MIN(ROUNDDOWN(N($E55)*Paramètres!$C$18,0),Paramètres!$D$18)</f>
        <v>8869</v>
      </c>
      <c r="I55" s="57" t="n">
        <f aca="false">N($E55)-(F55+G55+H55)</f>
        <v>124172</v>
      </c>
      <c r="J55" s="58" t="n">
        <v>0</v>
      </c>
      <c r="K55" s="59" t="str">
        <f aca="false">IF(I55&lt;Paramètres!$C$11,"Cadre inférieur","Cadre supérieur")</f>
        <v>Cadre inférieur</v>
      </c>
      <c r="L55" s="57" t="n">
        <f aca="false">MIN(F55,MIN(N($E55)*Paramètres!$C$16,Paramètres!$D$16))+MIN(G55,MIN(N($E55)*Paramètres!$C$17,Paramètres!$D$17))+MIN(H55,MIN(N($E55)*Paramètres!$C$18,Paramètres!$D$18))</f>
        <v>53215</v>
      </c>
      <c r="M55" s="57" t="n">
        <f aca="false">MIN(N($E55),Paramètres!$C$7)*Paramètres!$C$6</f>
        <v>9756.285</v>
      </c>
      <c r="N55" s="57" t="n">
        <f aca="false">MIN(M55,I55*Paramètres!$C$8)</f>
        <v>9756.285</v>
      </c>
      <c r="O55" s="57" t="n">
        <f aca="false">I55*IF(K55="Cadre supérieur",Paramètres!$C$10,Paramètres!$C$9)</f>
        <v>31043</v>
      </c>
      <c r="P55" s="57" t="n">
        <f aca="false">MAX(0,ROUNDDOWN(N($E55)-L55-N55-O55,-2))</f>
        <v>83300</v>
      </c>
      <c r="Q55" s="57" t="n">
        <f aca="false">SUMPRODUCT((P55&gt;Paramètres!$B$21:$B$27)*(P55-Paramètres!$B$21:$B$27)*Paramètres!$E$21:$E$27)</f>
        <v>7108.1</v>
      </c>
      <c r="R55" s="57" t="n">
        <f aca="false">Q55*INDEX(Paramètres!$C$31:$C$38,MIN(MAX(INT(N(J55)),0),7)+1)</f>
        <v>0</v>
      </c>
      <c r="S55" s="60" t="n">
        <f aca="false">ROUND(Q55-R55,0)</f>
        <v>7108</v>
      </c>
      <c r="T55" s="57" t="n">
        <f aca="false">ROUND(N($E55)*Paramètres!$C$13,0)</f>
        <v>5322</v>
      </c>
      <c r="U55" s="57" t="n">
        <f aca="false">ROUND(MAX(0,N($E55)-(Q55-R55)-M55)*Paramètres!$C$12,0)</f>
        <v>1605</v>
      </c>
      <c r="V55" s="60" t="n">
        <f aca="false">ROUND(N($E55)-M55-S55-U55,0)</f>
        <v>158918</v>
      </c>
    </row>
    <row r="56" customFormat="false" ht="17.25" hidden="false" customHeight="true" outlineLevel="0" collapsed="false">
      <c r="B56" s="53" t="n">
        <v>47</v>
      </c>
      <c r="C56" s="54" t="s">
        <v>62</v>
      </c>
      <c r="D56" s="55" t="n">
        <v>46088</v>
      </c>
      <c r="E56" s="56" t="n">
        <f aca="false">'Juill-aout-sept 2026'!G54</f>
        <v>135983</v>
      </c>
      <c r="F56" s="57" t="n">
        <f aca="false">MIN(ROUNDDOWN(N($E56)*Paramètres!$C$16,0),Paramètres!$D$16)</f>
        <v>27196</v>
      </c>
      <c r="G56" s="57" t="n">
        <f aca="false">MIN(ROUNDDOWN(N($E56)*Paramètres!$C$17,0),Paramètres!$D$17)</f>
        <v>6799</v>
      </c>
      <c r="H56" s="57" t="n">
        <f aca="false">MIN(ROUNDDOWN(N($E56)*Paramètres!$C$18,0),Paramètres!$D$18)</f>
        <v>6799</v>
      </c>
      <c r="I56" s="57" t="n">
        <f aca="false">N($E56)-(F56+G56+H56)</f>
        <v>95189</v>
      </c>
      <c r="J56" s="58" t="n">
        <v>0</v>
      </c>
      <c r="K56" s="59" t="str">
        <f aca="false">IF(I56&lt;Paramètres!$C$11,"Cadre inférieur","Cadre supérieur")</f>
        <v>Cadre inférieur</v>
      </c>
      <c r="L56" s="57" t="n">
        <f aca="false">MIN(F56,MIN(N($E56)*Paramètres!$C$16,Paramètres!$D$16))+MIN(G56,MIN(N($E56)*Paramètres!$C$17,Paramètres!$D$17))+MIN(H56,MIN(N($E56)*Paramètres!$C$18,Paramètres!$D$18))</f>
        <v>40794</v>
      </c>
      <c r="M56" s="57" t="n">
        <f aca="false">MIN(N($E56),Paramètres!$C$7)*Paramètres!$C$6</f>
        <v>7479.065</v>
      </c>
      <c r="N56" s="57" t="n">
        <f aca="false">MIN(M56,I56*Paramètres!$C$8)</f>
        <v>7479.065</v>
      </c>
      <c r="O56" s="57" t="n">
        <f aca="false">I56*IF(K56="Cadre supérieur",Paramètres!$C$10,Paramètres!$C$9)</f>
        <v>23797.25</v>
      </c>
      <c r="P56" s="57" t="n">
        <f aca="false">MAX(0,ROUNDDOWN(N($E56)-L56-N56-O56,-2))</f>
        <v>63900</v>
      </c>
      <c r="Q56" s="57" t="n">
        <f aca="false">SUMPRODUCT((P56&gt;Paramètres!$B$21:$B$27)*(P56-Paramètres!$B$21:$B$27)*Paramètres!$E$21:$E$27)</f>
        <v>4352.1</v>
      </c>
      <c r="R56" s="57" t="n">
        <f aca="false">Q56*INDEX(Paramètres!$C$31:$C$38,MIN(MAX(INT(N(J56)),0),7)+1)</f>
        <v>0</v>
      </c>
      <c r="S56" s="60" t="n">
        <f aca="false">ROUND(Q56-R56,0)</f>
        <v>4352</v>
      </c>
      <c r="T56" s="57" t="n">
        <f aca="false">ROUND(N($E56)*Paramètres!$C$13,0)</f>
        <v>4079</v>
      </c>
      <c r="U56" s="57" t="n">
        <f aca="false">ROUND(MAX(0,N($E56)-(Q56-R56)-M56)*Paramètres!$C$12,0)</f>
        <v>1242</v>
      </c>
      <c r="V56" s="60" t="n">
        <f aca="false">ROUND(N($E56)-M56-S56-U56,0)</f>
        <v>122910</v>
      </c>
    </row>
    <row r="57" customFormat="false" ht="17.25" hidden="false" customHeight="true" outlineLevel="0" collapsed="false">
      <c r="B57" s="53" t="n">
        <v>48</v>
      </c>
      <c r="C57" s="54" t="s">
        <v>63</v>
      </c>
      <c r="D57" s="55" t="n">
        <v>45766</v>
      </c>
      <c r="E57" s="56" t="n">
        <f aca="false">'Juill-aout-sept 2026'!G55</f>
        <v>471355</v>
      </c>
      <c r="F57" s="57" t="n">
        <f aca="false">MIN(ROUNDDOWN(N($E57)*Paramètres!$C$16,0),Paramètres!$D$16)</f>
        <v>75000</v>
      </c>
      <c r="G57" s="57" t="n">
        <f aca="false">MIN(ROUNDDOWN(N($E57)*Paramètres!$C$17,0),Paramètres!$D$17)</f>
        <v>23567</v>
      </c>
      <c r="H57" s="57" t="n">
        <f aca="false">MIN(ROUNDDOWN(N($E57)*Paramètres!$C$18,0),Paramètres!$D$18)</f>
        <v>23567</v>
      </c>
      <c r="I57" s="57" t="n">
        <f aca="false">N($E57)-(F57+G57+H57)</f>
        <v>349221</v>
      </c>
      <c r="J57" s="58" t="n">
        <v>0</v>
      </c>
      <c r="K57" s="59" t="str">
        <f aca="false">IF(I57&lt;Paramètres!$C$11,"Cadre inférieur","Cadre supérieur")</f>
        <v>Cadre supérieur</v>
      </c>
      <c r="L57" s="57" t="n">
        <f aca="false">MIN(F57,MIN(N($E57)*Paramètres!$C$16,Paramètres!$D$16))+MIN(G57,MIN(N($E57)*Paramètres!$C$17,Paramètres!$D$17))+MIN(H57,MIN(N($E57)*Paramètres!$C$18,Paramètres!$D$18))</f>
        <v>122134</v>
      </c>
      <c r="M57" s="57" t="n">
        <f aca="false">MIN(N($E57),Paramètres!$C$7)*Paramètres!$C$6</f>
        <v>25924.525</v>
      </c>
      <c r="N57" s="57" t="n">
        <f aca="false">MIN(M57,I57*Paramètres!$C$8)</f>
        <v>25924.525</v>
      </c>
      <c r="O57" s="57" t="n">
        <f aca="false">I57*IF(K57="Cadre supérieur",Paramètres!$C$10,Paramètres!$C$9)</f>
        <v>69844.2</v>
      </c>
      <c r="P57" s="57" t="n">
        <f aca="false">MAX(0,ROUNDDOWN(N($E57)-L57-N57-O57,-2))</f>
        <v>253400</v>
      </c>
      <c r="Q57" s="57" t="n">
        <f aca="false">SUMPRODUCT((P57&gt;Paramètres!$B$21:$B$27)*(P57-Paramètres!$B$21:$B$27)*Paramètres!$E$21:$E$27)</f>
        <v>40280</v>
      </c>
      <c r="R57" s="57" t="n">
        <f aca="false">Q57*INDEX(Paramètres!$C$31:$C$38,MIN(MAX(INT(N(J57)),0),7)+1)</f>
        <v>0</v>
      </c>
      <c r="S57" s="60" t="n">
        <f aca="false">ROUND(Q57-R57,0)</f>
        <v>40280</v>
      </c>
      <c r="T57" s="57" t="n">
        <f aca="false">ROUND(N($E57)*Paramètres!$C$13,0)</f>
        <v>14141</v>
      </c>
      <c r="U57" s="57" t="n">
        <f aca="false">ROUND(MAX(0,N($E57)-(Q57-R57)-M57)*Paramètres!$C$12,0)</f>
        <v>4052</v>
      </c>
      <c r="V57" s="60" t="n">
        <f aca="false">ROUND(N($E57)-M57-S57-U57,0)</f>
        <v>401098</v>
      </c>
    </row>
    <row r="58" customFormat="false" ht="17.25" hidden="false" customHeight="true" outlineLevel="0" collapsed="false">
      <c r="B58" s="53" t="n">
        <v>49</v>
      </c>
      <c r="C58" s="54" t="s">
        <v>64</v>
      </c>
      <c r="D58" s="55" t="n">
        <v>45778</v>
      </c>
      <c r="E58" s="56" t="n">
        <f aca="false">'Juill-aout-sept 2026'!G56</f>
        <v>213563</v>
      </c>
      <c r="F58" s="57" t="n">
        <f aca="false">MIN(ROUNDDOWN(N($E58)*Paramètres!$C$16,0),Paramètres!$D$16)</f>
        <v>42712</v>
      </c>
      <c r="G58" s="57" t="n">
        <f aca="false">MIN(ROUNDDOWN(N($E58)*Paramètres!$C$17,0),Paramètres!$D$17)</f>
        <v>10678</v>
      </c>
      <c r="H58" s="57" t="n">
        <f aca="false">MIN(ROUNDDOWN(N($E58)*Paramètres!$C$18,0),Paramètres!$D$18)</f>
        <v>10678</v>
      </c>
      <c r="I58" s="57" t="n">
        <f aca="false">N($E58)-(F58+G58+H58)</f>
        <v>149495</v>
      </c>
      <c r="J58" s="58" t="n">
        <v>0</v>
      </c>
      <c r="K58" s="59" t="str">
        <f aca="false">IF(I58&lt;Paramètres!$C$11,"Cadre inférieur","Cadre supérieur")</f>
        <v>Cadre inférieur</v>
      </c>
      <c r="L58" s="57" t="n">
        <f aca="false">MIN(F58,MIN(N($E58)*Paramètres!$C$16,Paramètres!$D$16))+MIN(G58,MIN(N($E58)*Paramètres!$C$17,Paramètres!$D$17))+MIN(H58,MIN(N($E58)*Paramètres!$C$18,Paramètres!$D$18))</f>
        <v>64068</v>
      </c>
      <c r="M58" s="57" t="n">
        <f aca="false">MIN(N($E58),Paramètres!$C$7)*Paramètres!$C$6</f>
        <v>11745.965</v>
      </c>
      <c r="N58" s="57" t="n">
        <f aca="false">MIN(M58,I58*Paramètres!$C$8)</f>
        <v>11745.965</v>
      </c>
      <c r="O58" s="57" t="n">
        <f aca="false">I58*IF(K58="Cadre supérieur",Paramètres!$C$10,Paramètres!$C$9)</f>
        <v>37373.75</v>
      </c>
      <c r="P58" s="57" t="n">
        <f aca="false">MAX(0,ROUNDDOWN(N($E58)-L58-N58-O58,-2))</f>
        <v>100300</v>
      </c>
      <c r="Q58" s="57" t="n">
        <f aca="false">SUMPRODUCT((P58&gt;Paramètres!$B$21:$B$27)*(P58-Paramètres!$B$21:$B$27)*Paramètres!$E$21:$E$27)</f>
        <v>9777.1</v>
      </c>
      <c r="R58" s="57" t="n">
        <f aca="false">Q58*INDEX(Paramètres!$C$31:$C$38,MIN(MAX(INT(N(J58)),0),7)+1)</f>
        <v>0</v>
      </c>
      <c r="S58" s="60" t="n">
        <f aca="false">ROUND(Q58-R58,0)</f>
        <v>9777</v>
      </c>
      <c r="T58" s="57" t="n">
        <f aca="false">ROUND(N($E58)*Paramètres!$C$13,0)</f>
        <v>6407</v>
      </c>
      <c r="U58" s="57" t="n">
        <f aca="false">ROUND(MAX(0,N($E58)-(Q58-R58)-M58)*Paramètres!$C$12,0)</f>
        <v>1920</v>
      </c>
      <c r="V58" s="60" t="n">
        <f aca="false">ROUND(N($E58)-M58-S58-U58,0)</f>
        <v>190120</v>
      </c>
    </row>
    <row r="59" customFormat="false" ht="17.25" hidden="false" customHeight="true" outlineLevel="0" collapsed="false">
      <c r="B59" s="53" t="n">
        <v>50</v>
      </c>
      <c r="C59" s="54" t="s">
        <v>7</v>
      </c>
      <c r="D59" s="55" t="n">
        <v>45778</v>
      </c>
      <c r="E59" s="56" t="n">
        <f aca="false">'Juill-aout-sept 2026'!G57</f>
        <v>213563</v>
      </c>
      <c r="F59" s="57" t="n">
        <f aca="false">MIN(ROUNDDOWN(N($E59)*Paramètres!$C$16,0),Paramètres!$D$16)</f>
        <v>42712</v>
      </c>
      <c r="G59" s="57" t="n">
        <f aca="false">MIN(ROUNDDOWN(N($E59)*Paramètres!$C$17,0),Paramètres!$D$17)</f>
        <v>10678</v>
      </c>
      <c r="H59" s="57" t="n">
        <f aca="false">MIN(ROUNDDOWN(N($E59)*Paramètres!$C$18,0),Paramètres!$D$18)</f>
        <v>10678</v>
      </c>
      <c r="I59" s="57" t="n">
        <f aca="false">N($E59)-(F59+G59+H59)</f>
        <v>149495</v>
      </c>
      <c r="J59" s="58" t="n">
        <v>0</v>
      </c>
      <c r="K59" s="59" t="str">
        <f aca="false">IF(I59&lt;Paramètres!$C$11,"Cadre inférieur","Cadre supérieur")</f>
        <v>Cadre inférieur</v>
      </c>
      <c r="L59" s="57" t="n">
        <f aca="false">MIN(F59,MIN(N($E59)*Paramètres!$C$16,Paramètres!$D$16))+MIN(G59,MIN(N($E59)*Paramètres!$C$17,Paramètres!$D$17))+MIN(H59,MIN(N($E59)*Paramètres!$C$18,Paramètres!$D$18))</f>
        <v>64068</v>
      </c>
      <c r="M59" s="57" t="n">
        <f aca="false">MIN(N($E59),Paramètres!$C$7)*Paramètres!$C$6</f>
        <v>11745.965</v>
      </c>
      <c r="N59" s="57" t="n">
        <f aca="false">MIN(M59,I59*Paramètres!$C$8)</f>
        <v>11745.965</v>
      </c>
      <c r="O59" s="57" t="n">
        <f aca="false">I59*IF(K59="Cadre supérieur",Paramètres!$C$10,Paramètres!$C$9)</f>
        <v>37373.75</v>
      </c>
      <c r="P59" s="57" t="n">
        <f aca="false">MAX(0,ROUNDDOWN(N($E59)-L59-N59-O59,-2))</f>
        <v>100300</v>
      </c>
      <c r="Q59" s="57" t="n">
        <f aca="false">SUMPRODUCT((P59&gt;Paramètres!$B$21:$B$27)*(P59-Paramètres!$B$21:$B$27)*Paramètres!$E$21:$E$27)</f>
        <v>9777.1</v>
      </c>
      <c r="R59" s="57" t="n">
        <f aca="false">Q59*INDEX(Paramètres!$C$31:$C$38,MIN(MAX(INT(N(J59)),0),7)+1)</f>
        <v>0</v>
      </c>
      <c r="S59" s="60" t="n">
        <f aca="false">ROUND(Q59-R59,0)</f>
        <v>9777</v>
      </c>
      <c r="T59" s="57" t="n">
        <f aca="false">ROUND(N($E59)*Paramètres!$C$13,0)</f>
        <v>6407</v>
      </c>
      <c r="U59" s="57" t="n">
        <f aca="false">ROUND(MAX(0,N($E59)-(Q59-R59)-M59)*Paramètres!$C$12,0)</f>
        <v>1920</v>
      </c>
      <c r="V59" s="60" t="n">
        <f aca="false">ROUND(N($E59)-M59-S59-U59,0)</f>
        <v>190120</v>
      </c>
    </row>
    <row r="60" customFormat="false" ht="17.25" hidden="false" customHeight="true" outlineLevel="0" collapsed="false">
      <c r="B60" s="53"/>
      <c r="C60" s="54" t="s">
        <v>65</v>
      </c>
      <c r="D60" s="55"/>
      <c r="E60" s="56" t="n">
        <f aca="false">'Juill-aout-sept 2026'!G58</f>
        <v>108397</v>
      </c>
      <c r="F60" s="57" t="n">
        <f aca="false">MIN(ROUNDDOWN(N($E60)*Paramètres!$C$16,0),Paramètres!$D$16)</f>
        <v>21679</v>
      </c>
      <c r="G60" s="57" t="n">
        <f aca="false">MIN(ROUNDDOWN(N($E60)*Paramètres!$C$17,0),Paramètres!$D$17)</f>
        <v>5419</v>
      </c>
      <c r="H60" s="57" t="n">
        <f aca="false">MIN(ROUNDDOWN(N($E60)*Paramètres!$C$18,0),Paramètres!$D$18)</f>
        <v>5419</v>
      </c>
      <c r="I60" s="57" t="n">
        <f aca="false">N($E60)-(F60+G60+H60)</f>
        <v>75880</v>
      </c>
      <c r="J60" s="58" t="n">
        <v>0</v>
      </c>
      <c r="K60" s="59" t="str">
        <f aca="false">IF(I60&lt;Paramètres!$C$11,"Cadre inférieur","Cadre supérieur")</f>
        <v>Cadre inférieur</v>
      </c>
      <c r="L60" s="57" t="n">
        <f aca="false">MIN(F60,MIN(N($E60)*Paramètres!$C$16,Paramètres!$D$16))+MIN(G60,MIN(N($E60)*Paramètres!$C$17,Paramètres!$D$17))+MIN(H60,MIN(N($E60)*Paramètres!$C$18,Paramètres!$D$18))</f>
        <v>32517</v>
      </c>
      <c r="M60" s="57" t="n">
        <f aca="false">MIN(N($E60),Paramètres!$C$7)*Paramètres!$C$6</f>
        <v>5961.835</v>
      </c>
      <c r="N60" s="57" t="n">
        <f aca="false">MIN(M60,I60*Paramètres!$C$8)</f>
        <v>5961.835</v>
      </c>
      <c r="O60" s="57" t="n">
        <f aca="false">I60*IF(K60="Cadre supérieur",Paramètres!$C$10,Paramètres!$C$9)</f>
        <v>18970</v>
      </c>
      <c r="P60" s="57" t="n">
        <f aca="false">MAX(0,ROUNDDOWN(N($E60)-L60-N60-O60,-2))</f>
        <v>50900</v>
      </c>
      <c r="Q60" s="57" t="n">
        <f aca="false">SUMPRODUCT((P60&gt;Paramètres!$B$21:$B$27)*(P60-Paramètres!$B$21:$B$27)*Paramètres!$E$21:$E$27)</f>
        <v>2545.1</v>
      </c>
      <c r="R60" s="57" t="n">
        <f aca="false">Q60*INDEX(Paramètres!$C$31:$C$38,MIN(MAX(INT(N(J60)),0),7)+1)</f>
        <v>0</v>
      </c>
      <c r="S60" s="60" t="n">
        <f aca="false">ROUND(Q60-R60,0)</f>
        <v>2545</v>
      </c>
      <c r="T60" s="57" t="n">
        <f aca="false">ROUND(N($E60)*Paramètres!$C$13,0)</f>
        <v>3252</v>
      </c>
      <c r="U60" s="57" t="n">
        <f aca="false">ROUND(MAX(0,N($E60)-(Q60-R60)-M60)*Paramètres!$C$12,0)</f>
        <v>999</v>
      </c>
      <c r="V60" s="60" t="n">
        <f aca="false">ROUND(N($E60)-M60-S60-U60,0)</f>
        <v>98891</v>
      </c>
    </row>
    <row r="61" customFormat="false" ht="17.25" hidden="false" customHeight="true" outlineLevel="0" collapsed="false">
      <c r="B61" s="53" t="n">
        <v>51</v>
      </c>
      <c r="C61" s="54" t="s">
        <v>66</v>
      </c>
      <c r="D61" s="55" t="n">
        <v>45778</v>
      </c>
      <c r="E61" s="56" t="n">
        <f aca="false">'Juill-aout-sept 2026'!G59</f>
        <v>177387</v>
      </c>
      <c r="F61" s="57" t="n">
        <f aca="false">MIN(ROUNDDOWN(N($E61)*Paramètres!$C$16,0),Paramètres!$D$16)</f>
        <v>35477</v>
      </c>
      <c r="G61" s="57" t="n">
        <f aca="false">MIN(ROUNDDOWN(N($E61)*Paramètres!$C$17,0),Paramètres!$D$17)</f>
        <v>8869</v>
      </c>
      <c r="H61" s="57" t="n">
        <f aca="false">MIN(ROUNDDOWN(N($E61)*Paramètres!$C$18,0),Paramètres!$D$18)</f>
        <v>8869</v>
      </c>
      <c r="I61" s="57" t="n">
        <f aca="false">N($E61)-(F61+G61+H61)</f>
        <v>124172</v>
      </c>
      <c r="J61" s="58" t="n">
        <v>0</v>
      </c>
      <c r="K61" s="59" t="str">
        <f aca="false">IF(I61&lt;Paramètres!$C$11,"Cadre inférieur","Cadre supérieur")</f>
        <v>Cadre inférieur</v>
      </c>
      <c r="L61" s="57" t="n">
        <f aca="false">MIN(F61,MIN(N($E61)*Paramètres!$C$16,Paramètres!$D$16))+MIN(G61,MIN(N($E61)*Paramètres!$C$17,Paramètres!$D$17))+MIN(H61,MIN(N($E61)*Paramètres!$C$18,Paramètres!$D$18))</f>
        <v>53215</v>
      </c>
      <c r="M61" s="57" t="n">
        <f aca="false">MIN(N($E61),Paramètres!$C$7)*Paramètres!$C$6</f>
        <v>9756.285</v>
      </c>
      <c r="N61" s="57" t="n">
        <f aca="false">MIN(M61,I61*Paramètres!$C$8)</f>
        <v>9756.285</v>
      </c>
      <c r="O61" s="57" t="n">
        <f aca="false">I61*IF(K61="Cadre supérieur",Paramètres!$C$10,Paramètres!$C$9)</f>
        <v>31043</v>
      </c>
      <c r="P61" s="57" t="n">
        <f aca="false">MAX(0,ROUNDDOWN(N($E61)-L61-N61-O61,-2))</f>
        <v>83300</v>
      </c>
      <c r="Q61" s="57" t="n">
        <f aca="false">SUMPRODUCT((P61&gt;Paramètres!$B$21:$B$27)*(P61-Paramètres!$B$21:$B$27)*Paramètres!$E$21:$E$27)</f>
        <v>7108.1</v>
      </c>
      <c r="R61" s="57" t="n">
        <f aca="false">Q61*INDEX(Paramètres!$C$31:$C$38,MIN(MAX(INT(N(J61)),0),7)+1)</f>
        <v>0</v>
      </c>
      <c r="S61" s="60" t="n">
        <f aca="false">ROUND(Q61-R61,0)</f>
        <v>7108</v>
      </c>
      <c r="T61" s="57" t="n">
        <f aca="false">ROUND(N($E61)*Paramètres!$C$13,0)</f>
        <v>5322</v>
      </c>
      <c r="U61" s="57" t="n">
        <f aca="false">ROUND(MAX(0,N($E61)-(Q61-R61)-M61)*Paramètres!$C$12,0)</f>
        <v>1605</v>
      </c>
      <c r="V61" s="60" t="n">
        <f aca="false">ROUND(N($E61)-M61-S61-U61,0)</f>
        <v>158918</v>
      </c>
    </row>
    <row r="62" customFormat="false" ht="17.25" hidden="false" customHeight="true" outlineLevel="0" collapsed="false">
      <c r="B62" s="53" t="n">
        <v>52</v>
      </c>
      <c r="C62" s="54" t="s">
        <v>67</v>
      </c>
      <c r="D62" s="55" t="n">
        <v>46235</v>
      </c>
      <c r="E62" s="56" t="n">
        <f aca="false">'Juill-aout-sept 2026'!G60</f>
        <v>177387</v>
      </c>
      <c r="F62" s="57" t="n">
        <f aca="false">MIN(ROUNDDOWN(N($E62)*Paramètres!$C$16,0),Paramètres!$D$16)</f>
        <v>35477</v>
      </c>
      <c r="G62" s="57" t="n">
        <f aca="false">MIN(ROUNDDOWN(N($E62)*Paramètres!$C$17,0),Paramètres!$D$17)</f>
        <v>8869</v>
      </c>
      <c r="H62" s="57" t="n">
        <f aca="false">MIN(ROUNDDOWN(N($E62)*Paramètres!$C$18,0),Paramètres!$D$18)</f>
        <v>8869</v>
      </c>
      <c r="I62" s="57" t="n">
        <f aca="false">N($E62)-(F62+G62+H62)</f>
        <v>124172</v>
      </c>
      <c r="J62" s="58" t="n">
        <v>0</v>
      </c>
      <c r="K62" s="59" t="str">
        <f aca="false">IF(I62&lt;Paramètres!$C$11,"Cadre inférieur","Cadre supérieur")</f>
        <v>Cadre inférieur</v>
      </c>
      <c r="L62" s="57" t="n">
        <f aca="false">MIN(F62,MIN(N($E62)*Paramètres!$C$16,Paramètres!$D$16))+MIN(G62,MIN(N($E62)*Paramètres!$C$17,Paramètres!$D$17))+MIN(H62,MIN(N($E62)*Paramètres!$C$18,Paramètres!$D$18))</f>
        <v>53215</v>
      </c>
      <c r="M62" s="57" t="n">
        <f aca="false">MIN(N($E62),Paramètres!$C$7)*Paramètres!$C$6</f>
        <v>9756.285</v>
      </c>
      <c r="N62" s="57" t="n">
        <f aca="false">MIN(M62,I62*Paramètres!$C$8)</f>
        <v>9756.285</v>
      </c>
      <c r="O62" s="57" t="n">
        <f aca="false">I62*IF(K62="Cadre supérieur",Paramètres!$C$10,Paramètres!$C$9)</f>
        <v>31043</v>
      </c>
      <c r="P62" s="57" t="n">
        <f aca="false">MAX(0,ROUNDDOWN(N($E62)-L62-N62-O62,-2))</f>
        <v>83300</v>
      </c>
      <c r="Q62" s="57" t="n">
        <f aca="false">SUMPRODUCT((P62&gt;Paramètres!$B$21:$B$27)*(P62-Paramètres!$B$21:$B$27)*Paramètres!$E$21:$E$27)</f>
        <v>7108.1</v>
      </c>
      <c r="R62" s="57" t="n">
        <f aca="false">Q62*INDEX(Paramètres!$C$31:$C$38,MIN(MAX(INT(N(J62)),0),7)+1)</f>
        <v>0</v>
      </c>
      <c r="S62" s="60" t="n">
        <f aca="false">ROUND(Q62-R62,0)</f>
        <v>7108</v>
      </c>
      <c r="T62" s="57" t="n">
        <f aca="false">ROUND(N($E62)*Paramètres!$C$13,0)</f>
        <v>5322</v>
      </c>
      <c r="U62" s="57" t="n">
        <f aca="false">ROUND(MAX(0,N($E62)-(Q62-R62)-M62)*Paramètres!$C$12,0)</f>
        <v>1605</v>
      </c>
      <c r="V62" s="60" t="n">
        <f aca="false">ROUND(N($E62)-M62-S62-U62,0)</f>
        <v>158918</v>
      </c>
    </row>
    <row r="63" customFormat="false" ht="17.25" hidden="false" customHeight="true" outlineLevel="0" collapsed="false">
      <c r="B63" s="53" t="n">
        <v>53</v>
      </c>
      <c r="C63" s="54" t="s">
        <v>68</v>
      </c>
      <c r="D63" s="55" t="n">
        <v>46175</v>
      </c>
      <c r="E63" s="56" t="n">
        <f aca="false">'Juill-aout-sept 2026'!G61</f>
        <v>213566</v>
      </c>
      <c r="F63" s="57" t="n">
        <f aca="false">MIN(ROUNDDOWN(N($E63)*Paramètres!$C$16,0),Paramètres!$D$16)</f>
        <v>42713</v>
      </c>
      <c r="G63" s="57" t="n">
        <f aca="false">MIN(ROUNDDOWN(N($E63)*Paramètres!$C$17,0),Paramètres!$D$17)</f>
        <v>10678</v>
      </c>
      <c r="H63" s="57" t="n">
        <f aca="false">MIN(ROUNDDOWN(N($E63)*Paramètres!$C$18,0),Paramètres!$D$18)</f>
        <v>10678</v>
      </c>
      <c r="I63" s="57" t="n">
        <f aca="false">N($E63)-(F63+G63+H63)</f>
        <v>149497</v>
      </c>
      <c r="J63" s="58" t="n">
        <v>0</v>
      </c>
      <c r="K63" s="59" t="str">
        <f aca="false">IF(I63&lt;Paramètres!$C$11,"Cadre inférieur","Cadre supérieur")</f>
        <v>Cadre inférieur</v>
      </c>
      <c r="L63" s="57" t="n">
        <f aca="false">MIN(F63,MIN(N($E63)*Paramètres!$C$16,Paramètres!$D$16))+MIN(G63,MIN(N($E63)*Paramètres!$C$17,Paramètres!$D$17))+MIN(H63,MIN(N($E63)*Paramètres!$C$18,Paramètres!$D$18))</f>
        <v>64069</v>
      </c>
      <c r="M63" s="57" t="n">
        <f aca="false">MIN(N($E63),Paramètres!$C$7)*Paramètres!$C$6</f>
        <v>11746.13</v>
      </c>
      <c r="N63" s="57" t="n">
        <f aca="false">MIN(M63,I63*Paramètres!$C$8)</f>
        <v>11746.13</v>
      </c>
      <c r="O63" s="57" t="n">
        <f aca="false">I63*IF(K63="Cadre supérieur",Paramètres!$C$10,Paramètres!$C$9)</f>
        <v>37374.25</v>
      </c>
      <c r="P63" s="57" t="n">
        <f aca="false">MAX(0,ROUNDDOWN(N($E63)-L63-N63-O63,-2))</f>
        <v>100300</v>
      </c>
      <c r="Q63" s="57" t="n">
        <f aca="false">SUMPRODUCT((P63&gt;Paramètres!$B$21:$B$27)*(P63-Paramètres!$B$21:$B$27)*Paramètres!$E$21:$E$27)</f>
        <v>9777.1</v>
      </c>
      <c r="R63" s="57" t="n">
        <f aca="false">Q63*INDEX(Paramètres!$C$31:$C$38,MIN(MAX(INT(N(J63)),0),7)+1)</f>
        <v>0</v>
      </c>
      <c r="S63" s="60" t="n">
        <f aca="false">ROUND(Q63-R63,0)</f>
        <v>9777</v>
      </c>
      <c r="T63" s="57" t="n">
        <f aca="false">ROUND(N($E63)*Paramètres!$C$13,0)</f>
        <v>6407</v>
      </c>
      <c r="U63" s="57" t="n">
        <f aca="false">ROUND(MAX(0,N($E63)-(Q63-R63)-M63)*Paramètres!$C$12,0)</f>
        <v>1920</v>
      </c>
      <c r="V63" s="60" t="n">
        <f aca="false">ROUND(N($E63)-M63-S63-U63,0)</f>
        <v>190123</v>
      </c>
    </row>
    <row r="64" customFormat="false" ht="17.25" hidden="false" customHeight="true" outlineLevel="0" collapsed="false">
      <c r="B64" s="53" t="n">
        <v>54</v>
      </c>
      <c r="C64" s="54" t="s">
        <v>69</v>
      </c>
      <c r="D64" s="55" t="n">
        <v>45901</v>
      </c>
      <c r="E64" s="56" t="n">
        <f aca="false">'Juill-aout-sept 2026'!G62</f>
        <v>213566</v>
      </c>
      <c r="F64" s="57" t="n">
        <f aca="false">MIN(ROUNDDOWN(N($E64)*Paramètres!$C$16,0),Paramètres!$D$16)</f>
        <v>42713</v>
      </c>
      <c r="G64" s="57" t="n">
        <f aca="false">MIN(ROUNDDOWN(N($E64)*Paramètres!$C$17,0),Paramètres!$D$17)</f>
        <v>10678</v>
      </c>
      <c r="H64" s="57" t="n">
        <f aca="false">MIN(ROUNDDOWN(N($E64)*Paramètres!$C$18,0),Paramètres!$D$18)</f>
        <v>10678</v>
      </c>
      <c r="I64" s="57" t="n">
        <f aca="false">N($E64)-(F64+G64+H64)</f>
        <v>149497</v>
      </c>
      <c r="J64" s="58" t="n">
        <v>0</v>
      </c>
      <c r="K64" s="59" t="str">
        <f aca="false">IF(I64&lt;Paramètres!$C$11,"Cadre inférieur","Cadre supérieur")</f>
        <v>Cadre inférieur</v>
      </c>
      <c r="L64" s="57" t="n">
        <f aca="false">MIN(F64,MIN(N($E64)*Paramètres!$C$16,Paramètres!$D$16))+MIN(G64,MIN(N($E64)*Paramètres!$C$17,Paramètres!$D$17))+MIN(H64,MIN(N($E64)*Paramètres!$C$18,Paramètres!$D$18))</f>
        <v>64069</v>
      </c>
      <c r="M64" s="57" t="n">
        <f aca="false">MIN(N($E64),Paramètres!$C$7)*Paramètres!$C$6</f>
        <v>11746.13</v>
      </c>
      <c r="N64" s="57" t="n">
        <f aca="false">MIN(M64,I64*Paramètres!$C$8)</f>
        <v>11746.13</v>
      </c>
      <c r="O64" s="57" t="n">
        <f aca="false">I64*IF(K64="Cadre supérieur",Paramètres!$C$10,Paramètres!$C$9)</f>
        <v>37374.25</v>
      </c>
      <c r="P64" s="57" t="n">
        <f aca="false">MAX(0,ROUNDDOWN(N($E64)-L64-N64-O64,-2))</f>
        <v>100300</v>
      </c>
      <c r="Q64" s="57" t="n">
        <f aca="false">SUMPRODUCT((P64&gt;Paramètres!$B$21:$B$27)*(P64-Paramètres!$B$21:$B$27)*Paramètres!$E$21:$E$27)</f>
        <v>9777.1</v>
      </c>
      <c r="R64" s="57" t="n">
        <f aca="false">Q64*INDEX(Paramètres!$C$31:$C$38,MIN(MAX(INT(N(J64)),0),7)+1)</f>
        <v>0</v>
      </c>
      <c r="S64" s="60" t="n">
        <f aca="false">ROUND(Q64-R64,0)</f>
        <v>9777</v>
      </c>
      <c r="T64" s="57" t="n">
        <f aca="false">ROUND(N($E64)*Paramètres!$C$13,0)</f>
        <v>6407</v>
      </c>
      <c r="U64" s="57" t="n">
        <f aca="false">ROUND(MAX(0,N($E64)-(Q64-R64)-M64)*Paramètres!$C$12,0)</f>
        <v>1920</v>
      </c>
      <c r="V64" s="60" t="n">
        <f aca="false">ROUND(N($E64)-M64-S64-U64,0)</f>
        <v>190123</v>
      </c>
    </row>
    <row r="65" customFormat="false" ht="17.25" hidden="false" customHeight="true" outlineLevel="0" collapsed="false">
      <c r="B65" s="53" t="n">
        <v>56</v>
      </c>
      <c r="C65" s="54" t="s">
        <v>70</v>
      </c>
      <c r="D65" s="55" t="n">
        <v>45802</v>
      </c>
      <c r="E65" s="56" t="n">
        <f aca="false">'Juill-aout-sept 2026'!G63</f>
        <v>177387</v>
      </c>
      <c r="F65" s="57" t="n">
        <f aca="false">MIN(ROUNDDOWN(N($E65)*Paramètres!$C$16,0),Paramètres!$D$16)</f>
        <v>35477</v>
      </c>
      <c r="G65" s="57" t="n">
        <f aca="false">MIN(ROUNDDOWN(N($E65)*Paramètres!$C$17,0),Paramètres!$D$17)</f>
        <v>8869</v>
      </c>
      <c r="H65" s="57" t="n">
        <f aca="false">MIN(ROUNDDOWN(N($E65)*Paramètres!$C$18,0),Paramètres!$D$18)</f>
        <v>8869</v>
      </c>
      <c r="I65" s="57" t="n">
        <f aca="false">N($E65)-(F65+G65+H65)</f>
        <v>124172</v>
      </c>
      <c r="J65" s="58" t="n">
        <v>0</v>
      </c>
      <c r="K65" s="59" t="str">
        <f aca="false">IF(I65&lt;Paramètres!$C$11,"Cadre inférieur","Cadre supérieur")</f>
        <v>Cadre inférieur</v>
      </c>
      <c r="L65" s="57" t="n">
        <f aca="false">MIN(F65,MIN(N($E65)*Paramètres!$C$16,Paramètres!$D$16))+MIN(G65,MIN(N($E65)*Paramètres!$C$17,Paramètres!$D$17))+MIN(H65,MIN(N($E65)*Paramètres!$C$18,Paramètres!$D$18))</f>
        <v>53215</v>
      </c>
      <c r="M65" s="57" t="n">
        <f aca="false">MIN(N($E65),Paramètres!$C$7)*Paramètres!$C$6</f>
        <v>9756.285</v>
      </c>
      <c r="N65" s="57" t="n">
        <f aca="false">MIN(M65,I65*Paramètres!$C$8)</f>
        <v>9756.285</v>
      </c>
      <c r="O65" s="57" t="n">
        <f aca="false">I65*IF(K65="Cadre supérieur",Paramètres!$C$10,Paramètres!$C$9)</f>
        <v>31043</v>
      </c>
      <c r="P65" s="57" t="n">
        <f aca="false">MAX(0,ROUNDDOWN(N($E65)-L65-N65-O65,-2))</f>
        <v>83300</v>
      </c>
      <c r="Q65" s="57" t="n">
        <f aca="false">SUMPRODUCT((P65&gt;Paramètres!$B$21:$B$27)*(P65-Paramètres!$B$21:$B$27)*Paramètres!$E$21:$E$27)</f>
        <v>7108.1</v>
      </c>
      <c r="R65" s="57" t="n">
        <f aca="false">Q65*INDEX(Paramètres!$C$31:$C$38,MIN(MAX(INT(N(J65)),0),7)+1)</f>
        <v>0</v>
      </c>
      <c r="S65" s="60" t="n">
        <f aca="false">ROUND(Q65-R65,0)</f>
        <v>7108</v>
      </c>
      <c r="T65" s="57" t="n">
        <f aca="false">ROUND(N($E65)*Paramètres!$C$13,0)</f>
        <v>5322</v>
      </c>
      <c r="U65" s="57" t="n">
        <f aca="false">ROUND(MAX(0,N($E65)-(Q65-R65)-M65)*Paramètres!$C$12,0)</f>
        <v>1605</v>
      </c>
      <c r="V65" s="60" t="n">
        <f aca="false">ROUND(N($E65)-M65-S65-U65,0)</f>
        <v>158918</v>
      </c>
    </row>
    <row r="66" customFormat="false" ht="17.25" hidden="false" customHeight="true" outlineLevel="0" collapsed="false">
      <c r="B66" s="53"/>
      <c r="C66" s="54" t="s">
        <v>70</v>
      </c>
      <c r="D66" s="55"/>
      <c r="E66" s="56" t="n">
        <f aca="false">'Juill-aout-sept 2026'!G64</f>
        <v>108397</v>
      </c>
      <c r="F66" s="57" t="n">
        <f aca="false">MIN(ROUNDDOWN(N($E66)*Paramètres!$C$16,0),Paramètres!$D$16)</f>
        <v>21679</v>
      </c>
      <c r="G66" s="57" t="n">
        <f aca="false">MIN(ROUNDDOWN(N($E66)*Paramètres!$C$17,0),Paramètres!$D$17)</f>
        <v>5419</v>
      </c>
      <c r="H66" s="57" t="n">
        <f aca="false">MIN(ROUNDDOWN(N($E66)*Paramètres!$C$18,0),Paramètres!$D$18)</f>
        <v>5419</v>
      </c>
      <c r="I66" s="57" t="n">
        <f aca="false">N($E66)-(F66+G66+H66)</f>
        <v>75880</v>
      </c>
      <c r="J66" s="58" t="n">
        <v>0</v>
      </c>
      <c r="K66" s="59" t="str">
        <f aca="false">IF(I66&lt;Paramètres!$C$11,"Cadre inférieur","Cadre supérieur")</f>
        <v>Cadre inférieur</v>
      </c>
      <c r="L66" s="57" t="n">
        <f aca="false">MIN(F66,MIN(N($E66)*Paramètres!$C$16,Paramètres!$D$16))+MIN(G66,MIN(N($E66)*Paramètres!$C$17,Paramètres!$D$17))+MIN(H66,MIN(N($E66)*Paramètres!$C$18,Paramètres!$D$18))</f>
        <v>32517</v>
      </c>
      <c r="M66" s="57" t="n">
        <f aca="false">MIN(N($E66),Paramètres!$C$7)*Paramètres!$C$6</f>
        <v>5961.835</v>
      </c>
      <c r="N66" s="57" t="n">
        <f aca="false">MIN(M66,I66*Paramètres!$C$8)</f>
        <v>5961.835</v>
      </c>
      <c r="O66" s="57" t="n">
        <f aca="false">I66*IF(K66="Cadre supérieur",Paramètres!$C$10,Paramètres!$C$9)</f>
        <v>18970</v>
      </c>
      <c r="P66" s="57" t="n">
        <f aca="false">MAX(0,ROUNDDOWN(N($E66)-L66-N66-O66,-2))</f>
        <v>50900</v>
      </c>
      <c r="Q66" s="57" t="n">
        <f aca="false">SUMPRODUCT((P66&gt;Paramètres!$B$21:$B$27)*(P66-Paramètres!$B$21:$B$27)*Paramètres!$E$21:$E$27)</f>
        <v>2545.1</v>
      </c>
      <c r="R66" s="57" t="n">
        <f aca="false">Q66*INDEX(Paramètres!$C$31:$C$38,MIN(MAX(INT(N(J66)),0),7)+1)</f>
        <v>0</v>
      </c>
      <c r="S66" s="60" t="n">
        <f aca="false">ROUND(Q66-R66,0)</f>
        <v>2545</v>
      </c>
      <c r="T66" s="57" t="n">
        <f aca="false">ROUND(N($E66)*Paramètres!$C$13,0)</f>
        <v>3252</v>
      </c>
      <c r="U66" s="57" t="n">
        <f aca="false">ROUND(MAX(0,N($E66)-(Q66-R66)-M66)*Paramètres!$C$12,0)</f>
        <v>999</v>
      </c>
      <c r="V66" s="60" t="n">
        <f aca="false">ROUND(N($E66)-M66-S66-U66,0)</f>
        <v>98891</v>
      </c>
    </row>
    <row r="67" customFormat="false" ht="17.25" hidden="false" customHeight="true" outlineLevel="0" collapsed="false">
      <c r="B67" s="53"/>
      <c r="C67" s="54" t="s">
        <v>71</v>
      </c>
      <c r="D67" s="55"/>
      <c r="E67" s="56" t="n">
        <f aca="false">'Juill-aout-sept 2026'!G65</f>
        <v>177387</v>
      </c>
      <c r="F67" s="57" t="n">
        <f aca="false">MIN(ROUNDDOWN(N($E67)*Paramètres!$C$16,0),Paramètres!$D$16)</f>
        <v>35477</v>
      </c>
      <c r="G67" s="57" t="n">
        <f aca="false">MIN(ROUNDDOWN(N($E67)*Paramètres!$C$17,0),Paramètres!$D$17)</f>
        <v>8869</v>
      </c>
      <c r="H67" s="57" t="n">
        <f aca="false">MIN(ROUNDDOWN(N($E67)*Paramètres!$C$18,0),Paramètres!$D$18)</f>
        <v>8869</v>
      </c>
      <c r="I67" s="57" t="n">
        <f aca="false">N($E67)-(F67+G67+H67)</f>
        <v>124172</v>
      </c>
      <c r="J67" s="58" t="n">
        <v>0</v>
      </c>
      <c r="K67" s="59" t="str">
        <f aca="false">IF(I67&lt;Paramètres!$C$11,"Cadre inférieur","Cadre supérieur")</f>
        <v>Cadre inférieur</v>
      </c>
      <c r="L67" s="57" t="n">
        <f aca="false">MIN(F67,MIN(N($E67)*Paramètres!$C$16,Paramètres!$D$16))+MIN(G67,MIN(N($E67)*Paramètres!$C$17,Paramètres!$D$17))+MIN(H67,MIN(N($E67)*Paramètres!$C$18,Paramètres!$D$18))</f>
        <v>53215</v>
      </c>
      <c r="M67" s="57" t="n">
        <f aca="false">MIN(N($E67),Paramètres!$C$7)*Paramètres!$C$6</f>
        <v>9756.285</v>
      </c>
      <c r="N67" s="57" t="n">
        <f aca="false">MIN(M67,I67*Paramètres!$C$8)</f>
        <v>9756.285</v>
      </c>
      <c r="O67" s="57" t="n">
        <f aca="false">I67*IF(K67="Cadre supérieur",Paramètres!$C$10,Paramètres!$C$9)</f>
        <v>31043</v>
      </c>
      <c r="P67" s="57" t="n">
        <f aca="false">MAX(0,ROUNDDOWN(N($E67)-L67-N67-O67,-2))</f>
        <v>83300</v>
      </c>
      <c r="Q67" s="57" t="n">
        <f aca="false">SUMPRODUCT((P67&gt;Paramètres!$B$21:$B$27)*(P67-Paramètres!$B$21:$B$27)*Paramètres!$E$21:$E$27)</f>
        <v>7108.1</v>
      </c>
      <c r="R67" s="57" t="n">
        <f aca="false">Q67*INDEX(Paramètres!$C$31:$C$38,MIN(MAX(INT(N(J67)),0),7)+1)</f>
        <v>0</v>
      </c>
      <c r="S67" s="60" t="n">
        <f aca="false">ROUND(Q67-R67,0)</f>
        <v>7108</v>
      </c>
      <c r="T67" s="57" t="n">
        <f aca="false">ROUND(N($E67)*Paramètres!$C$13,0)</f>
        <v>5322</v>
      </c>
      <c r="U67" s="57" t="n">
        <f aca="false">ROUND(MAX(0,N($E67)-(Q67-R67)-M67)*Paramètres!$C$12,0)</f>
        <v>1605</v>
      </c>
      <c r="V67" s="60" t="n">
        <f aca="false">ROUND(N($E67)-M67-S67-U67,0)</f>
        <v>158918</v>
      </c>
    </row>
    <row r="68" customFormat="false" ht="17.25" hidden="false" customHeight="true" outlineLevel="0" collapsed="false">
      <c r="B68" s="53" t="n">
        <v>57</v>
      </c>
      <c r="C68" s="54" t="s">
        <v>72</v>
      </c>
      <c r="D68" s="55" t="n">
        <v>45930</v>
      </c>
      <c r="E68" s="56" t="n">
        <f aca="false">'Juill-aout-sept 2026'!G66</f>
        <v>471355</v>
      </c>
      <c r="F68" s="57" t="n">
        <f aca="false">MIN(ROUNDDOWN(N($E68)*Paramètres!$C$16,0),Paramètres!$D$16)</f>
        <v>75000</v>
      </c>
      <c r="G68" s="57" t="n">
        <f aca="false">MIN(ROUNDDOWN(N($E68)*Paramètres!$C$17,0),Paramètres!$D$17)</f>
        <v>23567</v>
      </c>
      <c r="H68" s="57" t="n">
        <f aca="false">MIN(ROUNDDOWN(N($E68)*Paramètres!$C$18,0),Paramètres!$D$18)</f>
        <v>23567</v>
      </c>
      <c r="I68" s="57" t="n">
        <f aca="false">N($E68)-(F68+G68+H68)</f>
        <v>349221</v>
      </c>
      <c r="J68" s="58" t="n">
        <v>0</v>
      </c>
      <c r="K68" s="59" t="str">
        <f aca="false">IF(I68&lt;Paramètres!$C$11,"Cadre inférieur","Cadre supérieur")</f>
        <v>Cadre supérieur</v>
      </c>
      <c r="L68" s="57" t="n">
        <f aca="false">MIN(F68,MIN(N($E68)*Paramètres!$C$16,Paramètres!$D$16))+MIN(G68,MIN(N($E68)*Paramètres!$C$17,Paramètres!$D$17))+MIN(H68,MIN(N($E68)*Paramètres!$C$18,Paramètres!$D$18))</f>
        <v>122134</v>
      </c>
      <c r="M68" s="57" t="n">
        <f aca="false">MIN(N($E68),Paramètres!$C$7)*Paramètres!$C$6</f>
        <v>25924.525</v>
      </c>
      <c r="N68" s="57" t="n">
        <f aca="false">MIN(M68,I68*Paramètres!$C$8)</f>
        <v>25924.525</v>
      </c>
      <c r="O68" s="57" t="n">
        <f aca="false">I68*IF(K68="Cadre supérieur",Paramètres!$C$10,Paramètres!$C$9)</f>
        <v>69844.2</v>
      </c>
      <c r="P68" s="57" t="n">
        <f aca="false">MAX(0,ROUNDDOWN(N($E68)-L68-N68-O68,-2))</f>
        <v>253400</v>
      </c>
      <c r="Q68" s="57" t="n">
        <f aca="false">SUMPRODUCT((P68&gt;Paramètres!$B$21:$B$27)*(P68-Paramètres!$B$21:$B$27)*Paramètres!$E$21:$E$27)</f>
        <v>40280</v>
      </c>
      <c r="R68" s="57" t="n">
        <f aca="false">Q68*INDEX(Paramètres!$C$31:$C$38,MIN(MAX(INT(N(J68)),0),7)+1)</f>
        <v>0</v>
      </c>
      <c r="S68" s="60" t="n">
        <f aca="false">ROUND(Q68-R68,0)</f>
        <v>40280</v>
      </c>
      <c r="T68" s="57" t="n">
        <f aca="false">ROUND(N($E68)*Paramètres!$C$13,0)</f>
        <v>14141</v>
      </c>
      <c r="U68" s="57" t="n">
        <f aca="false">ROUND(MAX(0,N($E68)-(Q68-R68)-M68)*Paramètres!$C$12,0)</f>
        <v>4052</v>
      </c>
      <c r="V68" s="60" t="n">
        <f aca="false">ROUND(N($E68)-M68-S68-U68,0)</f>
        <v>401098</v>
      </c>
    </row>
    <row r="69" customFormat="false" ht="17.25" hidden="false" customHeight="true" outlineLevel="0" collapsed="false">
      <c r="B69" s="53" t="n">
        <v>58</v>
      </c>
      <c r="C69" s="54" t="s">
        <v>73</v>
      </c>
      <c r="D69" s="55" t="n">
        <v>45778</v>
      </c>
      <c r="E69" s="56" t="n">
        <f aca="false">'Juill-aout-sept 2026'!G67</f>
        <v>231913</v>
      </c>
      <c r="F69" s="57" t="n">
        <f aca="false">MIN(ROUNDDOWN(N($E69)*Paramètres!$C$16,0),Paramètres!$D$16)</f>
        <v>46382</v>
      </c>
      <c r="G69" s="57" t="n">
        <f aca="false">MIN(ROUNDDOWN(N($E69)*Paramètres!$C$17,0),Paramètres!$D$17)</f>
        <v>11595</v>
      </c>
      <c r="H69" s="57" t="n">
        <f aca="false">MIN(ROUNDDOWN(N($E69)*Paramètres!$C$18,0),Paramètres!$D$18)</f>
        <v>11595</v>
      </c>
      <c r="I69" s="57" t="n">
        <f aca="false">N($E69)-(F69+G69+H69)</f>
        <v>162341</v>
      </c>
      <c r="J69" s="58" t="n">
        <v>0</v>
      </c>
      <c r="K69" s="59" t="str">
        <f aca="false">IF(I69&lt;Paramètres!$C$11,"Cadre inférieur","Cadre supérieur")</f>
        <v>Cadre supérieur</v>
      </c>
      <c r="L69" s="57" t="n">
        <f aca="false">MIN(F69,MIN(N($E69)*Paramètres!$C$16,Paramètres!$D$16))+MIN(G69,MIN(N($E69)*Paramètres!$C$17,Paramètres!$D$17))+MIN(H69,MIN(N($E69)*Paramètres!$C$18,Paramètres!$D$18))</f>
        <v>69572</v>
      </c>
      <c r="M69" s="57" t="n">
        <f aca="false">MIN(N($E69),Paramètres!$C$7)*Paramètres!$C$6</f>
        <v>12755.215</v>
      </c>
      <c r="N69" s="57" t="n">
        <f aca="false">MIN(M69,I69*Paramètres!$C$8)</f>
        <v>12755.215</v>
      </c>
      <c r="O69" s="57" t="n">
        <f aca="false">I69*IF(K69="Cadre supérieur",Paramètres!$C$10,Paramètres!$C$9)</f>
        <v>32468.2</v>
      </c>
      <c r="P69" s="57" t="n">
        <f aca="false">MAX(0,ROUNDDOWN(N($E69)-L69-N69-O69,-2))</f>
        <v>117100</v>
      </c>
      <c r="Q69" s="57" t="n">
        <f aca="false">SUMPRODUCT((P69&gt;Paramètres!$B$21:$B$27)*(P69-Paramètres!$B$21:$B$27)*Paramètres!$E$21:$E$27)</f>
        <v>12414.7</v>
      </c>
      <c r="R69" s="57" t="n">
        <f aca="false">Q69*INDEX(Paramètres!$C$31:$C$38,MIN(MAX(INT(N(J69)),0),7)+1)</f>
        <v>0</v>
      </c>
      <c r="S69" s="60" t="n">
        <f aca="false">ROUND(Q69-R69,0)</f>
        <v>12415</v>
      </c>
      <c r="T69" s="57" t="n">
        <f aca="false">ROUND(N($E69)*Paramètres!$C$13,0)</f>
        <v>6957</v>
      </c>
      <c r="U69" s="57" t="n">
        <f aca="false">ROUND(MAX(0,N($E69)-(Q69-R69)-M69)*Paramètres!$C$12,0)</f>
        <v>2067</v>
      </c>
      <c r="V69" s="60" t="n">
        <f aca="false">ROUND(N($E69)-M69-S69-U69,0)</f>
        <v>204676</v>
      </c>
    </row>
    <row r="70" customFormat="false" ht="17.25" hidden="false" customHeight="true" outlineLevel="0" collapsed="false">
      <c r="B70" s="53" t="n">
        <v>59</v>
      </c>
      <c r="C70" s="54" t="s">
        <v>9</v>
      </c>
      <c r="D70" s="55" t="n">
        <v>45778</v>
      </c>
      <c r="E70" s="56" t="n">
        <f aca="false">'Juill-aout-sept 2026'!G68</f>
        <v>213566</v>
      </c>
      <c r="F70" s="57" t="n">
        <f aca="false">MIN(ROUNDDOWN(N($E70)*Paramètres!$C$16,0),Paramètres!$D$16)</f>
        <v>42713</v>
      </c>
      <c r="G70" s="57" t="n">
        <f aca="false">MIN(ROUNDDOWN(N($E70)*Paramètres!$C$17,0),Paramètres!$D$17)</f>
        <v>10678</v>
      </c>
      <c r="H70" s="57" t="n">
        <f aca="false">MIN(ROUNDDOWN(N($E70)*Paramètres!$C$18,0),Paramètres!$D$18)</f>
        <v>10678</v>
      </c>
      <c r="I70" s="57" t="n">
        <f aca="false">N($E70)-(F70+G70+H70)</f>
        <v>149497</v>
      </c>
      <c r="J70" s="58" t="n">
        <v>0</v>
      </c>
      <c r="K70" s="59" t="str">
        <f aca="false">IF(I70&lt;Paramètres!$C$11,"Cadre inférieur","Cadre supérieur")</f>
        <v>Cadre inférieur</v>
      </c>
      <c r="L70" s="57" t="n">
        <f aca="false">MIN(F70,MIN(N($E70)*Paramètres!$C$16,Paramètres!$D$16))+MIN(G70,MIN(N($E70)*Paramètres!$C$17,Paramètres!$D$17))+MIN(H70,MIN(N($E70)*Paramètres!$C$18,Paramètres!$D$18))</f>
        <v>64069</v>
      </c>
      <c r="M70" s="57" t="n">
        <f aca="false">MIN(N($E70),Paramètres!$C$7)*Paramètres!$C$6</f>
        <v>11746.13</v>
      </c>
      <c r="N70" s="57" t="n">
        <f aca="false">MIN(M70,I70*Paramètres!$C$8)</f>
        <v>11746.13</v>
      </c>
      <c r="O70" s="57" t="n">
        <f aca="false">I70*IF(K70="Cadre supérieur",Paramètres!$C$10,Paramètres!$C$9)</f>
        <v>37374.25</v>
      </c>
      <c r="P70" s="57" t="n">
        <f aca="false">MAX(0,ROUNDDOWN(N($E70)-L70-N70-O70,-2))</f>
        <v>100300</v>
      </c>
      <c r="Q70" s="57" t="n">
        <f aca="false">SUMPRODUCT((P70&gt;Paramètres!$B$21:$B$27)*(P70-Paramètres!$B$21:$B$27)*Paramètres!$E$21:$E$27)</f>
        <v>9777.1</v>
      </c>
      <c r="R70" s="57" t="n">
        <f aca="false">Q70*INDEX(Paramètres!$C$31:$C$38,MIN(MAX(INT(N(J70)),0),7)+1)</f>
        <v>0</v>
      </c>
      <c r="S70" s="60" t="n">
        <f aca="false">ROUND(Q70-R70,0)</f>
        <v>9777</v>
      </c>
      <c r="T70" s="57" t="n">
        <f aca="false">ROUND(N($E70)*Paramètres!$C$13,0)</f>
        <v>6407</v>
      </c>
      <c r="U70" s="57" t="n">
        <f aca="false">ROUND(MAX(0,N($E70)-(Q70-R70)-M70)*Paramètres!$C$12,0)</f>
        <v>1920</v>
      </c>
      <c r="V70" s="60" t="n">
        <f aca="false">ROUND(N($E70)-M70-S70-U70,0)</f>
        <v>190123</v>
      </c>
    </row>
    <row r="71" customFormat="false" ht="17.25" hidden="false" customHeight="true" outlineLevel="0" collapsed="false">
      <c r="B71" s="53" t="n">
        <v>60</v>
      </c>
      <c r="C71" s="54" t="s">
        <v>74</v>
      </c>
      <c r="D71" s="55" t="n">
        <v>45778</v>
      </c>
      <c r="E71" s="56" t="n">
        <f aca="false">'Juill-aout-sept 2026'!G69</f>
        <v>213566</v>
      </c>
      <c r="F71" s="57" t="n">
        <f aca="false">MIN(ROUNDDOWN(N($E71)*Paramètres!$C$16,0),Paramètres!$D$16)</f>
        <v>42713</v>
      </c>
      <c r="G71" s="57" t="n">
        <f aca="false">MIN(ROUNDDOWN(N($E71)*Paramètres!$C$17,0),Paramètres!$D$17)</f>
        <v>10678</v>
      </c>
      <c r="H71" s="57" t="n">
        <f aca="false">MIN(ROUNDDOWN(N($E71)*Paramètres!$C$18,0),Paramètres!$D$18)</f>
        <v>10678</v>
      </c>
      <c r="I71" s="57" t="n">
        <f aca="false">N($E71)-(F71+G71+H71)</f>
        <v>149497</v>
      </c>
      <c r="J71" s="58" t="n">
        <v>0</v>
      </c>
      <c r="K71" s="59" t="str">
        <f aca="false">IF(I71&lt;Paramètres!$C$11,"Cadre inférieur","Cadre supérieur")</f>
        <v>Cadre inférieur</v>
      </c>
      <c r="L71" s="57" t="n">
        <f aca="false">MIN(F71,MIN(N($E71)*Paramètres!$C$16,Paramètres!$D$16))+MIN(G71,MIN(N($E71)*Paramètres!$C$17,Paramètres!$D$17))+MIN(H71,MIN(N($E71)*Paramètres!$C$18,Paramètres!$D$18))</f>
        <v>64069</v>
      </c>
      <c r="M71" s="57" t="n">
        <f aca="false">MIN(N($E71),Paramètres!$C$7)*Paramètres!$C$6</f>
        <v>11746.13</v>
      </c>
      <c r="N71" s="57" t="n">
        <f aca="false">MIN(M71,I71*Paramètres!$C$8)</f>
        <v>11746.13</v>
      </c>
      <c r="O71" s="57" t="n">
        <f aca="false">I71*IF(K71="Cadre supérieur",Paramètres!$C$10,Paramètres!$C$9)</f>
        <v>37374.25</v>
      </c>
      <c r="P71" s="57" t="n">
        <f aca="false">MAX(0,ROUNDDOWN(N($E71)-L71-N71-O71,-2))</f>
        <v>100300</v>
      </c>
      <c r="Q71" s="57" t="n">
        <f aca="false">SUMPRODUCT((P71&gt;Paramètres!$B$21:$B$27)*(P71-Paramètres!$B$21:$B$27)*Paramètres!$E$21:$E$27)</f>
        <v>9777.1</v>
      </c>
      <c r="R71" s="57" t="n">
        <f aca="false">Q71*INDEX(Paramètres!$C$31:$C$38,MIN(MAX(INT(N(J71)),0),7)+1)</f>
        <v>0</v>
      </c>
      <c r="S71" s="60" t="n">
        <f aca="false">ROUND(Q71-R71,0)</f>
        <v>9777</v>
      </c>
      <c r="T71" s="57" t="n">
        <f aca="false">ROUND(N($E71)*Paramètres!$C$13,0)</f>
        <v>6407</v>
      </c>
      <c r="U71" s="57" t="n">
        <f aca="false">ROUND(MAX(0,N($E71)-(Q71-R71)-M71)*Paramètres!$C$12,0)</f>
        <v>1920</v>
      </c>
      <c r="V71" s="60" t="n">
        <f aca="false">ROUND(N($E71)-M71-S71-U71,0)</f>
        <v>190123</v>
      </c>
    </row>
    <row r="72" customFormat="false" ht="17.25" hidden="false" customHeight="true" outlineLevel="0" collapsed="false">
      <c r="B72" s="53" t="n">
        <v>61</v>
      </c>
      <c r="C72" s="54" t="s">
        <v>75</v>
      </c>
      <c r="D72" s="55" t="n">
        <v>45806</v>
      </c>
      <c r="E72" s="56" t="n">
        <f aca="false">'Juill-aout-sept 2026'!G70</f>
        <v>135983</v>
      </c>
      <c r="F72" s="57" t="n">
        <f aca="false">MIN(ROUNDDOWN(N($E72)*Paramètres!$C$16,0),Paramètres!$D$16)</f>
        <v>27196</v>
      </c>
      <c r="G72" s="57" t="n">
        <f aca="false">MIN(ROUNDDOWN(N($E72)*Paramètres!$C$17,0),Paramètres!$D$17)</f>
        <v>6799</v>
      </c>
      <c r="H72" s="57" t="n">
        <f aca="false">MIN(ROUNDDOWN(N($E72)*Paramètres!$C$18,0),Paramètres!$D$18)</f>
        <v>6799</v>
      </c>
      <c r="I72" s="57" t="n">
        <f aca="false">N($E72)-(F72+G72+H72)</f>
        <v>95189</v>
      </c>
      <c r="J72" s="58" t="n">
        <v>0</v>
      </c>
      <c r="K72" s="59" t="str">
        <f aca="false">IF(I72&lt;Paramètres!$C$11,"Cadre inférieur","Cadre supérieur")</f>
        <v>Cadre inférieur</v>
      </c>
      <c r="L72" s="57" t="n">
        <f aca="false">MIN(F72,MIN(N($E72)*Paramètres!$C$16,Paramètres!$D$16))+MIN(G72,MIN(N($E72)*Paramètres!$C$17,Paramètres!$D$17))+MIN(H72,MIN(N($E72)*Paramètres!$C$18,Paramètres!$D$18))</f>
        <v>40794</v>
      </c>
      <c r="M72" s="57" t="n">
        <f aca="false">MIN(N($E72),Paramètres!$C$7)*Paramètres!$C$6</f>
        <v>7479.065</v>
      </c>
      <c r="N72" s="57" t="n">
        <f aca="false">MIN(M72,I72*Paramètres!$C$8)</f>
        <v>7479.065</v>
      </c>
      <c r="O72" s="57" t="n">
        <f aca="false">I72*IF(K72="Cadre supérieur",Paramètres!$C$10,Paramètres!$C$9)</f>
        <v>23797.25</v>
      </c>
      <c r="P72" s="57" t="n">
        <f aca="false">MAX(0,ROUNDDOWN(N($E72)-L72-N72-O72,-2))</f>
        <v>63900</v>
      </c>
      <c r="Q72" s="57" t="n">
        <f aca="false">SUMPRODUCT((P72&gt;Paramètres!$B$21:$B$27)*(P72-Paramètres!$B$21:$B$27)*Paramètres!$E$21:$E$27)</f>
        <v>4352.1</v>
      </c>
      <c r="R72" s="57" t="n">
        <f aca="false">Q72*INDEX(Paramètres!$C$31:$C$38,MIN(MAX(INT(N(J72)),0),7)+1)</f>
        <v>0</v>
      </c>
      <c r="S72" s="60" t="n">
        <f aca="false">ROUND(Q72-R72,0)</f>
        <v>4352</v>
      </c>
      <c r="T72" s="57" t="n">
        <f aca="false">ROUND(N($E72)*Paramètres!$C$13,0)</f>
        <v>4079</v>
      </c>
      <c r="U72" s="57" t="n">
        <f aca="false">ROUND(MAX(0,N($E72)-(Q72-R72)-M72)*Paramètres!$C$12,0)</f>
        <v>1242</v>
      </c>
      <c r="V72" s="60" t="n">
        <f aca="false">ROUND(N($E72)-M72-S72-U72,0)</f>
        <v>122910</v>
      </c>
    </row>
    <row r="73" customFormat="false" ht="17.25" hidden="false" customHeight="true" outlineLevel="0" collapsed="false">
      <c r="B73" s="53" t="n">
        <v>62</v>
      </c>
      <c r="C73" s="54" t="s">
        <v>76</v>
      </c>
      <c r="D73" s="55" t="n">
        <v>46174</v>
      </c>
      <c r="E73" s="56" t="n">
        <f aca="false">'Juill-aout-sept 2026'!G71</f>
        <v>213563</v>
      </c>
      <c r="F73" s="57" t="n">
        <f aca="false">MIN(ROUNDDOWN(N($E73)*Paramètres!$C$16,0),Paramètres!$D$16)</f>
        <v>42712</v>
      </c>
      <c r="G73" s="57" t="n">
        <f aca="false">MIN(ROUNDDOWN(N($E73)*Paramètres!$C$17,0),Paramètres!$D$17)</f>
        <v>10678</v>
      </c>
      <c r="H73" s="57" t="n">
        <f aca="false">MIN(ROUNDDOWN(N($E73)*Paramètres!$C$18,0),Paramètres!$D$18)</f>
        <v>10678</v>
      </c>
      <c r="I73" s="57" t="n">
        <f aca="false">N($E73)-(F73+G73+H73)</f>
        <v>149495</v>
      </c>
      <c r="J73" s="58" t="n">
        <v>0</v>
      </c>
      <c r="K73" s="59" t="str">
        <f aca="false">IF(I73&lt;Paramètres!$C$11,"Cadre inférieur","Cadre supérieur")</f>
        <v>Cadre inférieur</v>
      </c>
      <c r="L73" s="57" t="n">
        <f aca="false">MIN(F73,MIN(N($E73)*Paramètres!$C$16,Paramètres!$D$16))+MIN(G73,MIN(N($E73)*Paramètres!$C$17,Paramètres!$D$17))+MIN(H73,MIN(N($E73)*Paramètres!$C$18,Paramètres!$D$18))</f>
        <v>64068</v>
      </c>
      <c r="M73" s="57" t="n">
        <f aca="false">MIN(N($E73),Paramètres!$C$7)*Paramètres!$C$6</f>
        <v>11745.965</v>
      </c>
      <c r="N73" s="57" t="n">
        <f aca="false">MIN(M73,I73*Paramètres!$C$8)</f>
        <v>11745.965</v>
      </c>
      <c r="O73" s="57" t="n">
        <f aca="false">I73*IF(K73="Cadre supérieur",Paramètres!$C$10,Paramètres!$C$9)</f>
        <v>37373.75</v>
      </c>
      <c r="P73" s="57" t="n">
        <f aca="false">MAX(0,ROUNDDOWN(N($E73)-L73-N73-O73,-2))</f>
        <v>100300</v>
      </c>
      <c r="Q73" s="57" t="n">
        <f aca="false">SUMPRODUCT((P73&gt;Paramètres!$B$21:$B$27)*(P73-Paramètres!$B$21:$B$27)*Paramètres!$E$21:$E$27)</f>
        <v>9777.1</v>
      </c>
      <c r="R73" s="57" t="n">
        <f aca="false">Q73*INDEX(Paramètres!$C$31:$C$38,MIN(MAX(INT(N(J73)),0),7)+1)</f>
        <v>0</v>
      </c>
      <c r="S73" s="60" t="n">
        <f aca="false">ROUND(Q73-R73,0)</f>
        <v>9777</v>
      </c>
      <c r="T73" s="57" t="n">
        <f aca="false">ROUND(N($E73)*Paramètres!$C$13,0)</f>
        <v>6407</v>
      </c>
      <c r="U73" s="57" t="n">
        <f aca="false">ROUND(MAX(0,N($E73)-(Q73-R73)-M73)*Paramètres!$C$12,0)</f>
        <v>1920</v>
      </c>
      <c r="V73" s="60" t="n">
        <f aca="false">ROUND(N($E73)-M73-S73-U73,0)</f>
        <v>190120</v>
      </c>
    </row>
    <row r="74" customFormat="false" ht="17.25" hidden="false" customHeight="true" outlineLevel="0" collapsed="false">
      <c r="B74" s="53" t="n">
        <v>63</v>
      </c>
      <c r="C74" s="54" t="s">
        <v>77</v>
      </c>
      <c r="D74" s="55" t="n">
        <v>45930</v>
      </c>
      <c r="E74" s="56" t="n">
        <f aca="false">'Juill-aout-sept 2026'!G72</f>
        <v>165340</v>
      </c>
      <c r="F74" s="57" t="n">
        <f aca="false">MIN(ROUNDDOWN(N($E74)*Paramètres!$C$16,0),Paramètres!$D$16)</f>
        <v>33068</v>
      </c>
      <c r="G74" s="57" t="n">
        <f aca="false">MIN(ROUNDDOWN(N($E74)*Paramètres!$C$17,0),Paramètres!$D$17)</f>
        <v>8267</v>
      </c>
      <c r="H74" s="57" t="n">
        <f aca="false">MIN(ROUNDDOWN(N($E74)*Paramètres!$C$18,0),Paramètres!$D$18)</f>
        <v>8267</v>
      </c>
      <c r="I74" s="57" t="n">
        <f aca="false">N($E74)-(F74+G74+H74)</f>
        <v>115738</v>
      </c>
      <c r="J74" s="58" t="n">
        <v>0</v>
      </c>
      <c r="K74" s="59" t="str">
        <f aca="false">IF(I74&lt;Paramètres!$C$11,"Cadre inférieur","Cadre supérieur")</f>
        <v>Cadre inférieur</v>
      </c>
      <c r="L74" s="57" t="n">
        <f aca="false">MIN(F74,MIN(N($E74)*Paramètres!$C$16,Paramètres!$D$16))+MIN(G74,MIN(N($E74)*Paramètres!$C$17,Paramètres!$D$17))+MIN(H74,MIN(N($E74)*Paramètres!$C$18,Paramètres!$D$18))</f>
        <v>49602</v>
      </c>
      <c r="M74" s="57" t="n">
        <f aca="false">MIN(N($E74),Paramètres!$C$7)*Paramètres!$C$6</f>
        <v>9093.7</v>
      </c>
      <c r="N74" s="57" t="n">
        <f aca="false">MIN(M74,I74*Paramètres!$C$8)</f>
        <v>9093.7</v>
      </c>
      <c r="O74" s="57" t="n">
        <f aca="false">I74*IF(K74="Cadre supérieur",Paramètres!$C$10,Paramètres!$C$9)</f>
        <v>28934.5</v>
      </c>
      <c r="P74" s="57" t="n">
        <f aca="false">MAX(0,ROUNDDOWN(N($E74)-L74-N74-O74,-2))</f>
        <v>77700</v>
      </c>
      <c r="Q74" s="57" t="n">
        <f aca="false">SUMPRODUCT((P74&gt;Paramètres!$B$21:$B$27)*(P74-Paramètres!$B$21:$B$27)*Paramètres!$E$21:$E$27)</f>
        <v>6270.3</v>
      </c>
      <c r="R74" s="57" t="n">
        <f aca="false">Q74*INDEX(Paramètres!$C$31:$C$38,MIN(MAX(INT(N(J74)),0),7)+1)</f>
        <v>0</v>
      </c>
      <c r="S74" s="60" t="n">
        <f aca="false">ROUND(Q74-R74,0)</f>
        <v>6270</v>
      </c>
      <c r="T74" s="57" t="n">
        <f aca="false">ROUND(N($E74)*Paramètres!$C$13,0)</f>
        <v>4960</v>
      </c>
      <c r="U74" s="57" t="n">
        <f aca="false">ROUND(MAX(0,N($E74)-(Q74-R74)-M74)*Paramètres!$C$12,0)</f>
        <v>1500</v>
      </c>
      <c r="V74" s="60" t="n">
        <f aca="false">ROUND(N($E74)-M74-S74-U74,0)</f>
        <v>148476</v>
      </c>
    </row>
    <row r="75" customFormat="false" ht="17.25" hidden="false" customHeight="true" outlineLevel="0" collapsed="false">
      <c r="B75" s="53" t="n">
        <v>64</v>
      </c>
      <c r="C75" s="54" t="s">
        <v>8</v>
      </c>
      <c r="D75" s="55" t="n">
        <v>45912</v>
      </c>
      <c r="E75" s="56" t="n">
        <f aca="false">'Juill-aout-sept 2026'!G73</f>
        <v>213566</v>
      </c>
      <c r="F75" s="57" t="n">
        <f aca="false">MIN(ROUNDDOWN(N($E75)*Paramètres!$C$16,0),Paramètres!$D$16)</f>
        <v>42713</v>
      </c>
      <c r="G75" s="57" t="n">
        <f aca="false">MIN(ROUNDDOWN(N($E75)*Paramètres!$C$17,0),Paramètres!$D$17)</f>
        <v>10678</v>
      </c>
      <c r="H75" s="57" t="n">
        <f aca="false">MIN(ROUNDDOWN(N($E75)*Paramètres!$C$18,0),Paramètres!$D$18)</f>
        <v>10678</v>
      </c>
      <c r="I75" s="57" t="n">
        <f aca="false">N($E75)-(F75+G75+H75)</f>
        <v>149497</v>
      </c>
      <c r="J75" s="58" t="n">
        <v>0</v>
      </c>
      <c r="K75" s="59" t="str">
        <f aca="false">IF(I75&lt;Paramètres!$C$11,"Cadre inférieur","Cadre supérieur")</f>
        <v>Cadre inférieur</v>
      </c>
      <c r="L75" s="57" t="n">
        <f aca="false">MIN(F75,MIN(N($E75)*Paramètres!$C$16,Paramètres!$D$16))+MIN(G75,MIN(N($E75)*Paramètres!$C$17,Paramètres!$D$17))+MIN(H75,MIN(N($E75)*Paramètres!$C$18,Paramètres!$D$18))</f>
        <v>64069</v>
      </c>
      <c r="M75" s="57" t="n">
        <f aca="false">MIN(N($E75),Paramètres!$C$7)*Paramètres!$C$6</f>
        <v>11746.13</v>
      </c>
      <c r="N75" s="57" t="n">
        <f aca="false">MIN(M75,I75*Paramètres!$C$8)</f>
        <v>11746.13</v>
      </c>
      <c r="O75" s="57" t="n">
        <f aca="false">I75*IF(K75="Cadre supérieur",Paramètres!$C$10,Paramètres!$C$9)</f>
        <v>37374.25</v>
      </c>
      <c r="P75" s="57" t="n">
        <f aca="false">MAX(0,ROUNDDOWN(N($E75)-L75-N75-O75,-2))</f>
        <v>100300</v>
      </c>
      <c r="Q75" s="57" t="n">
        <f aca="false">SUMPRODUCT((P75&gt;Paramètres!$B$21:$B$27)*(P75-Paramètres!$B$21:$B$27)*Paramètres!$E$21:$E$27)</f>
        <v>9777.1</v>
      </c>
      <c r="R75" s="57" t="n">
        <f aca="false">Q75*INDEX(Paramètres!$C$31:$C$38,MIN(MAX(INT(N(J75)),0),7)+1)</f>
        <v>0</v>
      </c>
      <c r="S75" s="60" t="n">
        <f aca="false">ROUND(Q75-R75,0)</f>
        <v>9777</v>
      </c>
      <c r="T75" s="57" t="n">
        <f aca="false">ROUND(N($E75)*Paramètres!$C$13,0)</f>
        <v>6407</v>
      </c>
      <c r="U75" s="57" t="n">
        <f aca="false">ROUND(MAX(0,N($E75)-(Q75-R75)-M75)*Paramètres!$C$12,0)</f>
        <v>1920</v>
      </c>
      <c r="V75" s="60" t="n">
        <f aca="false">ROUND(N($E75)-M75-S75-U75,0)</f>
        <v>190123</v>
      </c>
    </row>
    <row r="76" customFormat="false" ht="17.25" hidden="false" customHeight="true" outlineLevel="0" collapsed="false">
      <c r="B76" s="53" t="n">
        <v>65</v>
      </c>
      <c r="C76" s="54" t="s">
        <v>78</v>
      </c>
      <c r="D76" s="55" t="n">
        <v>46183</v>
      </c>
      <c r="E76" s="56" t="n">
        <f aca="false">'Juill-aout-sept 2026'!G74</f>
        <v>177387</v>
      </c>
      <c r="F76" s="57" t="n">
        <f aca="false">MIN(ROUNDDOWN(N($E76)*Paramètres!$C$16,0),Paramètres!$D$16)</f>
        <v>35477</v>
      </c>
      <c r="G76" s="57" t="n">
        <f aca="false">MIN(ROUNDDOWN(N($E76)*Paramètres!$C$17,0),Paramètres!$D$17)</f>
        <v>8869</v>
      </c>
      <c r="H76" s="57" t="n">
        <f aca="false">MIN(ROUNDDOWN(N($E76)*Paramètres!$C$18,0),Paramètres!$D$18)</f>
        <v>8869</v>
      </c>
      <c r="I76" s="57" t="n">
        <f aca="false">N($E76)-(F76+G76+H76)</f>
        <v>124172</v>
      </c>
      <c r="J76" s="58" t="n">
        <v>0</v>
      </c>
      <c r="K76" s="59" t="str">
        <f aca="false">IF(I76&lt;Paramètres!$C$11,"Cadre inférieur","Cadre supérieur")</f>
        <v>Cadre inférieur</v>
      </c>
      <c r="L76" s="57" t="n">
        <f aca="false">MIN(F76,MIN(N($E76)*Paramètres!$C$16,Paramètres!$D$16))+MIN(G76,MIN(N($E76)*Paramètres!$C$17,Paramètres!$D$17))+MIN(H76,MIN(N($E76)*Paramètres!$C$18,Paramètres!$D$18))</f>
        <v>53215</v>
      </c>
      <c r="M76" s="57" t="n">
        <f aca="false">MIN(N($E76),Paramètres!$C$7)*Paramètres!$C$6</f>
        <v>9756.285</v>
      </c>
      <c r="N76" s="57" t="n">
        <f aca="false">MIN(M76,I76*Paramètres!$C$8)</f>
        <v>9756.285</v>
      </c>
      <c r="O76" s="57" t="n">
        <f aca="false">I76*IF(K76="Cadre supérieur",Paramètres!$C$10,Paramètres!$C$9)</f>
        <v>31043</v>
      </c>
      <c r="P76" s="57" t="n">
        <f aca="false">MAX(0,ROUNDDOWN(N($E76)-L76-N76-O76,-2))</f>
        <v>83300</v>
      </c>
      <c r="Q76" s="57" t="n">
        <f aca="false">SUMPRODUCT((P76&gt;Paramètres!$B$21:$B$27)*(P76-Paramètres!$B$21:$B$27)*Paramètres!$E$21:$E$27)</f>
        <v>7108.1</v>
      </c>
      <c r="R76" s="57" t="n">
        <f aca="false">Q76*INDEX(Paramètres!$C$31:$C$38,MIN(MAX(INT(N(J76)),0),7)+1)</f>
        <v>0</v>
      </c>
      <c r="S76" s="60" t="n">
        <f aca="false">ROUND(Q76-R76,0)</f>
        <v>7108</v>
      </c>
      <c r="T76" s="57" t="n">
        <f aca="false">ROUND(N($E76)*Paramètres!$C$13,0)</f>
        <v>5322</v>
      </c>
      <c r="U76" s="57" t="n">
        <f aca="false">ROUND(MAX(0,N($E76)-(Q76-R76)-M76)*Paramètres!$C$12,0)</f>
        <v>1605</v>
      </c>
      <c r="V76" s="60" t="n">
        <f aca="false">ROUND(N($E76)-M76-S76-U76,0)</f>
        <v>158918</v>
      </c>
    </row>
    <row r="77" customFormat="false" ht="17.25" hidden="false" customHeight="true" outlineLevel="0" collapsed="false">
      <c r="B77" s="53" t="n">
        <v>66</v>
      </c>
      <c r="C77" s="54" t="s">
        <v>79</v>
      </c>
      <c r="D77" s="55" t="n">
        <v>46023</v>
      </c>
      <c r="E77" s="56" t="n">
        <f aca="false">'Juill-aout-sept 2026'!G75</f>
        <v>177387</v>
      </c>
      <c r="F77" s="57" t="n">
        <f aca="false">MIN(ROUNDDOWN(N($E77)*Paramètres!$C$16,0),Paramètres!$D$16)</f>
        <v>35477</v>
      </c>
      <c r="G77" s="57" t="n">
        <f aca="false">MIN(ROUNDDOWN(N($E77)*Paramètres!$C$17,0),Paramètres!$D$17)</f>
        <v>8869</v>
      </c>
      <c r="H77" s="57" t="n">
        <f aca="false">MIN(ROUNDDOWN(N($E77)*Paramètres!$C$18,0),Paramètres!$D$18)</f>
        <v>8869</v>
      </c>
      <c r="I77" s="57" t="n">
        <f aca="false">N($E77)-(F77+G77+H77)</f>
        <v>124172</v>
      </c>
      <c r="J77" s="58" t="n">
        <v>0</v>
      </c>
      <c r="K77" s="59" t="str">
        <f aca="false">IF(I77&lt;Paramètres!$C$11,"Cadre inférieur","Cadre supérieur")</f>
        <v>Cadre inférieur</v>
      </c>
      <c r="L77" s="57" t="n">
        <f aca="false">MIN(F77,MIN(N($E77)*Paramètres!$C$16,Paramètres!$D$16))+MIN(G77,MIN(N($E77)*Paramètres!$C$17,Paramètres!$D$17))+MIN(H77,MIN(N($E77)*Paramètres!$C$18,Paramètres!$D$18))</f>
        <v>53215</v>
      </c>
      <c r="M77" s="57" t="n">
        <f aca="false">MIN(N($E77),Paramètres!$C$7)*Paramètres!$C$6</f>
        <v>9756.285</v>
      </c>
      <c r="N77" s="57" t="n">
        <f aca="false">MIN(M77,I77*Paramètres!$C$8)</f>
        <v>9756.285</v>
      </c>
      <c r="O77" s="57" t="n">
        <f aca="false">I77*IF(K77="Cadre supérieur",Paramètres!$C$10,Paramètres!$C$9)</f>
        <v>31043</v>
      </c>
      <c r="P77" s="57" t="n">
        <f aca="false">MAX(0,ROUNDDOWN(N($E77)-L77-N77-O77,-2))</f>
        <v>83300</v>
      </c>
      <c r="Q77" s="57" t="n">
        <f aca="false">SUMPRODUCT((P77&gt;Paramètres!$B$21:$B$27)*(P77-Paramètres!$B$21:$B$27)*Paramètres!$E$21:$E$27)</f>
        <v>7108.1</v>
      </c>
      <c r="R77" s="57" t="n">
        <f aca="false">Q77*INDEX(Paramètres!$C$31:$C$38,MIN(MAX(INT(N(J77)),0),7)+1)</f>
        <v>0</v>
      </c>
      <c r="S77" s="60" t="n">
        <f aca="false">ROUND(Q77-R77,0)</f>
        <v>7108</v>
      </c>
      <c r="T77" s="57" t="n">
        <f aca="false">ROUND(N($E77)*Paramètres!$C$13,0)</f>
        <v>5322</v>
      </c>
      <c r="U77" s="57" t="n">
        <f aca="false">ROUND(MAX(0,N($E77)-(Q77-R77)-M77)*Paramètres!$C$12,0)</f>
        <v>1605</v>
      </c>
      <c r="V77" s="60" t="n">
        <f aca="false">ROUND(N($E77)-M77-S77-U77,0)</f>
        <v>158918</v>
      </c>
    </row>
    <row r="78" customFormat="false" ht="17.25" hidden="false" customHeight="true" outlineLevel="0" collapsed="false">
      <c r="B78" s="53" t="n">
        <v>67</v>
      </c>
      <c r="C78" s="54" t="s">
        <v>80</v>
      </c>
      <c r="D78" s="55" t="n">
        <v>46204</v>
      </c>
      <c r="E78" s="56" t="n">
        <f aca="false">'Juill-aout-sept 2026'!G76</f>
        <v>135983</v>
      </c>
      <c r="F78" s="57" t="n">
        <f aca="false">MIN(ROUNDDOWN(N($E78)*Paramètres!$C$16,0),Paramètres!$D$16)</f>
        <v>27196</v>
      </c>
      <c r="G78" s="57" t="n">
        <f aca="false">MIN(ROUNDDOWN(N($E78)*Paramètres!$C$17,0),Paramètres!$D$17)</f>
        <v>6799</v>
      </c>
      <c r="H78" s="57" t="n">
        <f aca="false">MIN(ROUNDDOWN(N($E78)*Paramètres!$C$18,0),Paramètres!$D$18)</f>
        <v>6799</v>
      </c>
      <c r="I78" s="57" t="n">
        <f aca="false">N($E78)-(F78+G78+H78)</f>
        <v>95189</v>
      </c>
      <c r="J78" s="58" t="n">
        <v>0</v>
      </c>
      <c r="K78" s="59" t="str">
        <f aca="false">IF(I78&lt;Paramètres!$C$11,"Cadre inférieur","Cadre supérieur")</f>
        <v>Cadre inférieur</v>
      </c>
      <c r="L78" s="57" t="n">
        <f aca="false">MIN(F78,MIN(N($E78)*Paramètres!$C$16,Paramètres!$D$16))+MIN(G78,MIN(N($E78)*Paramètres!$C$17,Paramètres!$D$17))+MIN(H78,MIN(N($E78)*Paramètres!$C$18,Paramètres!$D$18))</f>
        <v>40794</v>
      </c>
      <c r="M78" s="57" t="n">
        <f aca="false">MIN(N($E78),Paramètres!$C$7)*Paramètres!$C$6</f>
        <v>7479.065</v>
      </c>
      <c r="N78" s="57" t="n">
        <f aca="false">MIN(M78,I78*Paramètres!$C$8)</f>
        <v>7479.065</v>
      </c>
      <c r="O78" s="57" t="n">
        <f aca="false">I78*IF(K78="Cadre supérieur",Paramètres!$C$10,Paramètres!$C$9)</f>
        <v>23797.25</v>
      </c>
      <c r="P78" s="57" t="n">
        <f aca="false">MAX(0,ROUNDDOWN(N($E78)-L78-N78-O78,-2))</f>
        <v>63900</v>
      </c>
      <c r="Q78" s="57" t="n">
        <f aca="false">SUMPRODUCT((P78&gt;Paramètres!$B$21:$B$27)*(P78-Paramètres!$B$21:$B$27)*Paramètres!$E$21:$E$27)</f>
        <v>4352.1</v>
      </c>
      <c r="R78" s="57" t="n">
        <f aca="false">Q78*INDEX(Paramètres!$C$31:$C$38,MIN(MAX(INT(N(J78)),0),7)+1)</f>
        <v>0</v>
      </c>
      <c r="S78" s="60" t="n">
        <f aca="false">ROUND(Q78-R78,0)</f>
        <v>4352</v>
      </c>
      <c r="T78" s="57" t="n">
        <f aca="false">ROUND(N($E78)*Paramètres!$C$13,0)</f>
        <v>4079</v>
      </c>
      <c r="U78" s="57" t="n">
        <f aca="false">ROUND(MAX(0,N($E78)-(Q78-R78)-M78)*Paramètres!$C$12,0)</f>
        <v>1242</v>
      </c>
      <c r="V78" s="60" t="n">
        <f aca="false">ROUND(N($E78)-M78-S78-U78,0)</f>
        <v>122910</v>
      </c>
    </row>
    <row r="79" customFormat="false" ht="17.25" hidden="false" customHeight="true" outlineLevel="0" collapsed="false">
      <c r="B79" s="53" t="n">
        <v>68</v>
      </c>
      <c r="C79" s="54" t="s">
        <v>81</v>
      </c>
      <c r="D79" s="55" t="n">
        <v>45778</v>
      </c>
      <c r="E79" s="56" t="n">
        <f aca="false">'Juill-aout-sept 2026'!G77</f>
        <v>471355</v>
      </c>
      <c r="F79" s="57" t="n">
        <f aca="false">MIN(ROUNDDOWN(N($E79)*Paramètres!$C$16,0),Paramètres!$D$16)</f>
        <v>75000</v>
      </c>
      <c r="G79" s="57" t="n">
        <f aca="false">MIN(ROUNDDOWN(N($E79)*Paramètres!$C$17,0),Paramètres!$D$17)</f>
        <v>23567</v>
      </c>
      <c r="H79" s="57" t="n">
        <f aca="false">MIN(ROUNDDOWN(N($E79)*Paramètres!$C$18,0),Paramètres!$D$18)</f>
        <v>23567</v>
      </c>
      <c r="I79" s="57" t="n">
        <f aca="false">N($E79)-(F79+G79+H79)</f>
        <v>349221</v>
      </c>
      <c r="J79" s="58" t="n">
        <v>0</v>
      </c>
      <c r="K79" s="59" t="str">
        <f aca="false">IF(I79&lt;Paramètres!$C$11,"Cadre inférieur","Cadre supérieur")</f>
        <v>Cadre supérieur</v>
      </c>
      <c r="L79" s="57" t="n">
        <f aca="false">MIN(F79,MIN(N($E79)*Paramètres!$C$16,Paramètres!$D$16))+MIN(G79,MIN(N($E79)*Paramètres!$C$17,Paramètres!$D$17))+MIN(H79,MIN(N($E79)*Paramètres!$C$18,Paramètres!$D$18))</f>
        <v>122134</v>
      </c>
      <c r="M79" s="57" t="n">
        <f aca="false">MIN(N($E79),Paramètres!$C$7)*Paramètres!$C$6</f>
        <v>25924.525</v>
      </c>
      <c r="N79" s="57" t="n">
        <f aca="false">MIN(M79,I79*Paramètres!$C$8)</f>
        <v>25924.525</v>
      </c>
      <c r="O79" s="57" t="n">
        <f aca="false">I79*IF(K79="Cadre supérieur",Paramètres!$C$10,Paramètres!$C$9)</f>
        <v>69844.2</v>
      </c>
      <c r="P79" s="57" t="n">
        <f aca="false">MAX(0,ROUNDDOWN(N($E79)-L79-N79-O79,-2))</f>
        <v>253400</v>
      </c>
      <c r="Q79" s="57" t="n">
        <f aca="false">SUMPRODUCT((P79&gt;Paramètres!$B$21:$B$27)*(P79-Paramètres!$B$21:$B$27)*Paramètres!$E$21:$E$27)</f>
        <v>40280</v>
      </c>
      <c r="R79" s="57" t="n">
        <f aca="false">Q79*INDEX(Paramètres!$C$31:$C$38,MIN(MAX(INT(N(J79)),0),7)+1)</f>
        <v>0</v>
      </c>
      <c r="S79" s="60" t="n">
        <f aca="false">ROUND(Q79-R79,0)</f>
        <v>40280</v>
      </c>
      <c r="T79" s="57" t="n">
        <f aca="false">ROUND(N($E79)*Paramètres!$C$13,0)</f>
        <v>14141</v>
      </c>
      <c r="U79" s="57" t="n">
        <f aca="false">ROUND(MAX(0,N($E79)-(Q79-R79)-M79)*Paramètres!$C$12,0)</f>
        <v>4052</v>
      </c>
      <c r="V79" s="60" t="n">
        <f aca="false">ROUND(N($E79)-M79-S79-U79,0)</f>
        <v>401098</v>
      </c>
    </row>
    <row r="80" customFormat="false" ht="17.25" hidden="false" customHeight="true" outlineLevel="0" collapsed="false">
      <c r="B80" s="53" t="n">
        <v>69</v>
      </c>
      <c r="C80" s="54" t="s">
        <v>82</v>
      </c>
      <c r="D80" s="55" t="n">
        <v>46289</v>
      </c>
      <c r="E80" s="56" t="n">
        <f aca="false">'Juill-aout-sept 2026'!G78</f>
        <v>177387</v>
      </c>
      <c r="F80" s="57" t="n">
        <f aca="false">MIN(ROUNDDOWN(N($E80)*Paramètres!$C$16,0),Paramètres!$D$16)</f>
        <v>35477</v>
      </c>
      <c r="G80" s="57" t="n">
        <f aca="false">MIN(ROUNDDOWN(N($E80)*Paramètres!$C$17,0),Paramètres!$D$17)</f>
        <v>8869</v>
      </c>
      <c r="H80" s="57" t="n">
        <f aca="false">MIN(ROUNDDOWN(N($E80)*Paramètres!$C$18,0),Paramètres!$D$18)</f>
        <v>8869</v>
      </c>
      <c r="I80" s="57" t="n">
        <f aca="false">N($E80)-(F80+G80+H80)</f>
        <v>124172</v>
      </c>
      <c r="J80" s="58" t="n">
        <v>0</v>
      </c>
      <c r="K80" s="59" t="str">
        <f aca="false">IF(I80&lt;Paramètres!$C$11,"Cadre inférieur","Cadre supérieur")</f>
        <v>Cadre inférieur</v>
      </c>
      <c r="L80" s="57" t="n">
        <f aca="false">MIN(F80,MIN(N($E80)*Paramètres!$C$16,Paramètres!$D$16))+MIN(G80,MIN(N($E80)*Paramètres!$C$17,Paramètres!$D$17))+MIN(H80,MIN(N($E80)*Paramètres!$C$18,Paramètres!$D$18))</f>
        <v>53215</v>
      </c>
      <c r="M80" s="57" t="n">
        <f aca="false">MIN(N($E80),Paramètres!$C$7)*Paramètres!$C$6</f>
        <v>9756.285</v>
      </c>
      <c r="N80" s="57" t="n">
        <f aca="false">MIN(M80,I80*Paramètres!$C$8)</f>
        <v>9756.285</v>
      </c>
      <c r="O80" s="57" t="n">
        <f aca="false">I80*IF(K80="Cadre supérieur",Paramètres!$C$10,Paramètres!$C$9)</f>
        <v>31043</v>
      </c>
      <c r="P80" s="57" t="n">
        <f aca="false">MAX(0,ROUNDDOWN(N($E80)-L80-N80-O80,-2))</f>
        <v>83300</v>
      </c>
      <c r="Q80" s="57" t="n">
        <f aca="false">SUMPRODUCT((P80&gt;Paramètres!$B$21:$B$27)*(P80-Paramètres!$B$21:$B$27)*Paramètres!$E$21:$E$27)</f>
        <v>7108.1</v>
      </c>
      <c r="R80" s="57" t="n">
        <f aca="false">Q80*INDEX(Paramètres!$C$31:$C$38,MIN(MAX(INT(N(J80)),0),7)+1)</f>
        <v>0</v>
      </c>
      <c r="S80" s="60" t="n">
        <f aca="false">ROUND(Q80-R80,0)</f>
        <v>7108</v>
      </c>
      <c r="T80" s="57" t="n">
        <f aca="false">ROUND(N($E80)*Paramètres!$C$13,0)</f>
        <v>5322</v>
      </c>
      <c r="U80" s="57" t="n">
        <f aca="false">ROUND(MAX(0,N($E80)-(Q80-R80)-M80)*Paramètres!$C$12,0)</f>
        <v>1605</v>
      </c>
      <c r="V80" s="60" t="n">
        <f aca="false">ROUND(N($E80)-M80-S80-U80,0)</f>
        <v>158918</v>
      </c>
    </row>
    <row r="81" customFormat="false" ht="17.25" hidden="false" customHeight="true" outlineLevel="0" collapsed="false">
      <c r="B81" s="53" t="n">
        <v>70</v>
      </c>
      <c r="C81" s="54" t="s">
        <v>83</v>
      </c>
      <c r="D81" s="55" t="n">
        <v>46023</v>
      </c>
      <c r="E81" s="56" t="n">
        <f aca="false">'Juill-aout-sept 2026'!G79</f>
        <v>213566</v>
      </c>
      <c r="F81" s="57" t="n">
        <f aca="false">MIN(ROUNDDOWN(N($E81)*Paramètres!$C$16,0),Paramètres!$D$16)</f>
        <v>42713</v>
      </c>
      <c r="G81" s="57" t="n">
        <f aca="false">MIN(ROUNDDOWN(N($E81)*Paramètres!$C$17,0),Paramètres!$D$17)</f>
        <v>10678</v>
      </c>
      <c r="H81" s="57" t="n">
        <f aca="false">MIN(ROUNDDOWN(N($E81)*Paramètres!$C$18,0),Paramètres!$D$18)</f>
        <v>10678</v>
      </c>
      <c r="I81" s="57" t="n">
        <f aca="false">N($E81)-(F81+G81+H81)</f>
        <v>149497</v>
      </c>
      <c r="J81" s="58" t="n">
        <v>0</v>
      </c>
      <c r="K81" s="59" t="str">
        <f aca="false">IF(I81&lt;Paramètres!$C$11,"Cadre inférieur","Cadre supérieur")</f>
        <v>Cadre inférieur</v>
      </c>
      <c r="L81" s="57" t="n">
        <f aca="false">MIN(F81,MIN(N($E81)*Paramètres!$C$16,Paramètres!$D$16))+MIN(G81,MIN(N($E81)*Paramètres!$C$17,Paramètres!$D$17))+MIN(H81,MIN(N($E81)*Paramètres!$C$18,Paramètres!$D$18))</f>
        <v>64069</v>
      </c>
      <c r="M81" s="57" t="n">
        <f aca="false">MIN(N($E81),Paramètres!$C$7)*Paramètres!$C$6</f>
        <v>11746.13</v>
      </c>
      <c r="N81" s="57" t="n">
        <f aca="false">MIN(M81,I81*Paramètres!$C$8)</f>
        <v>11746.13</v>
      </c>
      <c r="O81" s="57" t="n">
        <f aca="false">I81*IF(K81="Cadre supérieur",Paramètres!$C$10,Paramètres!$C$9)</f>
        <v>37374.25</v>
      </c>
      <c r="P81" s="57" t="n">
        <f aca="false">MAX(0,ROUNDDOWN(N($E81)-L81-N81-O81,-2))</f>
        <v>100300</v>
      </c>
      <c r="Q81" s="57" t="n">
        <f aca="false">SUMPRODUCT((P81&gt;Paramètres!$B$21:$B$27)*(P81-Paramètres!$B$21:$B$27)*Paramètres!$E$21:$E$27)</f>
        <v>9777.1</v>
      </c>
      <c r="R81" s="57" t="n">
        <f aca="false">Q81*INDEX(Paramètres!$C$31:$C$38,MIN(MAX(INT(N(J81)),0),7)+1)</f>
        <v>0</v>
      </c>
      <c r="S81" s="60" t="n">
        <f aca="false">ROUND(Q81-R81,0)</f>
        <v>9777</v>
      </c>
      <c r="T81" s="57" t="n">
        <f aca="false">ROUND(N($E81)*Paramètres!$C$13,0)</f>
        <v>6407</v>
      </c>
      <c r="U81" s="57" t="n">
        <f aca="false">ROUND(MAX(0,N($E81)-(Q81-R81)-M81)*Paramètres!$C$12,0)</f>
        <v>1920</v>
      </c>
      <c r="V81" s="60" t="n">
        <f aca="false">ROUND(N($E81)-M81-S81-U81,0)</f>
        <v>190123</v>
      </c>
    </row>
    <row r="82" customFormat="false" ht="17.25" hidden="false" customHeight="true" outlineLevel="0" collapsed="false">
      <c r="B82" s="53" t="n">
        <v>71</v>
      </c>
      <c r="C82" s="54" t="s">
        <v>84</v>
      </c>
      <c r="D82" s="55" t="n">
        <v>46235</v>
      </c>
      <c r="E82" s="56" t="n">
        <f aca="false">'Juill-aout-sept 2026'!G80</f>
        <v>177387</v>
      </c>
      <c r="F82" s="57" t="n">
        <f aca="false">MIN(ROUNDDOWN(N($E82)*Paramètres!$C$16,0),Paramètres!$D$16)</f>
        <v>35477</v>
      </c>
      <c r="G82" s="57" t="n">
        <f aca="false">MIN(ROUNDDOWN(N($E82)*Paramètres!$C$17,0),Paramètres!$D$17)</f>
        <v>8869</v>
      </c>
      <c r="H82" s="57" t="n">
        <f aca="false">MIN(ROUNDDOWN(N($E82)*Paramètres!$C$18,0),Paramètres!$D$18)</f>
        <v>8869</v>
      </c>
      <c r="I82" s="57" t="n">
        <f aca="false">N($E82)-(F82+G82+H82)</f>
        <v>124172</v>
      </c>
      <c r="J82" s="58" t="n">
        <v>0</v>
      </c>
      <c r="K82" s="59" t="str">
        <f aca="false">IF(I82&lt;Paramètres!$C$11,"Cadre inférieur","Cadre supérieur")</f>
        <v>Cadre inférieur</v>
      </c>
      <c r="L82" s="57" t="n">
        <f aca="false">MIN(F82,MIN(N($E82)*Paramètres!$C$16,Paramètres!$D$16))+MIN(G82,MIN(N($E82)*Paramètres!$C$17,Paramètres!$D$17))+MIN(H82,MIN(N($E82)*Paramètres!$C$18,Paramètres!$D$18))</f>
        <v>53215</v>
      </c>
      <c r="M82" s="57" t="n">
        <f aca="false">MIN(N($E82),Paramètres!$C$7)*Paramètres!$C$6</f>
        <v>9756.285</v>
      </c>
      <c r="N82" s="57" t="n">
        <f aca="false">MIN(M82,I82*Paramètres!$C$8)</f>
        <v>9756.285</v>
      </c>
      <c r="O82" s="57" t="n">
        <f aca="false">I82*IF(K82="Cadre supérieur",Paramètres!$C$10,Paramètres!$C$9)</f>
        <v>31043</v>
      </c>
      <c r="P82" s="57" t="n">
        <f aca="false">MAX(0,ROUNDDOWN(N($E82)-L82-N82-O82,-2))</f>
        <v>83300</v>
      </c>
      <c r="Q82" s="57" t="n">
        <f aca="false">SUMPRODUCT((P82&gt;Paramètres!$B$21:$B$27)*(P82-Paramètres!$B$21:$B$27)*Paramètres!$E$21:$E$27)</f>
        <v>7108.1</v>
      </c>
      <c r="R82" s="57" t="n">
        <f aca="false">Q82*INDEX(Paramètres!$C$31:$C$38,MIN(MAX(INT(N(J82)),0),7)+1)</f>
        <v>0</v>
      </c>
      <c r="S82" s="60" t="n">
        <f aca="false">ROUND(Q82-R82,0)</f>
        <v>7108</v>
      </c>
      <c r="T82" s="57" t="n">
        <f aca="false">ROUND(N($E82)*Paramètres!$C$13,0)</f>
        <v>5322</v>
      </c>
      <c r="U82" s="57" t="n">
        <f aca="false">ROUND(MAX(0,N($E82)-(Q82-R82)-M82)*Paramètres!$C$12,0)</f>
        <v>1605</v>
      </c>
      <c r="V82" s="60" t="n">
        <f aca="false">ROUND(N($E82)-M82-S82-U82,0)</f>
        <v>158918</v>
      </c>
    </row>
    <row r="83" customFormat="false" ht="17.25" hidden="false" customHeight="true" outlineLevel="0" collapsed="false">
      <c r="B83" s="53" t="n">
        <v>72</v>
      </c>
      <c r="C83" s="54" t="s">
        <v>85</v>
      </c>
      <c r="D83" s="55" t="n">
        <v>46183</v>
      </c>
      <c r="E83" s="56" t="n">
        <f aca="false">'Juill-aout-sept 2026'!G81</f>
        <v>177387</v>
      </c>
      <c r="F83" s="57" t="n">
        <f aca="false">MIN(ROUNDDOWN(N($E83)*Paramètres!$C$16,0),Paramètres!$D$16)</f>
        <v>35477</v>
      </c>
      <c r="G83" s="57" t="n">
        <f aca="false">MIN(ROUNDDOWN(N($E83)*Paramètres!$C$17,0),Paramètres!$D$17)</f>
        <v>8869</v>
      </c>
      <c r="H83" s="57" t="n">
        <f aca="false">MIN(ROUNDDOWN(N($E83)*Paramètres!$C$18,0),Paramètres!$D$18)</f>
        <v>8869</v>
      </c>
      <c r="I83" s="57" t="n">
        <f aca="false">N($E83)-(F83+G83+H83)</f>
        <v>124172</v>
      </c>
      <c r="J83" s="58" t="n">
        <v>0</v>
      </c>
      <c r="K83" s="59" t="str">
        <f aca="false">IF(I83&lt;Paramètres!$C$11,"Cadre inférieur","Cadre supérieur")</f>
        <v>Cadre inférieur</v>
      </c>
      <c r="L83" s="57" t="n">
        <f aca="false">MIN(F83,MIN(N($E83)*Paramètres!$C$16,Paramètres!$D$16))+MIN(G83,MIN(N($E83)*Paramètres!$C$17,Paramètres!$D$17))+MIN(H83,MIN(N($E83)*Paramètres!$C$18,Paramètres!$D$18))</f>
        <v>53215</v>
      </c>
      <c r="M83" s="57" t="n">
        <f aca="false">MIN(N($E83),Paramètres!$C$7)*Paramètres!$C$6</f>
        <v>9756.285</v>
      </c>
      <c r="N83" s="57" t="n">
        <f aca="false">MIN(M83,I83*Paramètres!$C$8)</f>
        <v>9756.285</v>
      </c>
      <c r="O83" s="57" t="n">
        <f aca="false">I83*IF(K83="Cadre supérieur",Paramètres!$C$10,Paramètres!$C$9)</f>
        <v>31043</v>
      </c>
      <c r="P83" s="57" t="n">
        <f aca="false">MAX(0,ROUNDDOWN(N($E83)-L83-N83-O83,-2))</f>
        <v>83300</v>
      </c>
      <c r="Q83" s="57" t="n">
        <f aca="false">SUMPRODUCT((P83&gt;Paramètres!$B$21:$B$27)*(P83-Paramètres!$B$21:$B$27)*Paramètres!$E$21:$E$27)</f>
        <v>7108.1</v>
      </c>
      <c r="R83" s="57" t="n">
        <f aca="false">Q83*INDEX(Paramètres!$C$31:$C$38,MIN(MAX(INT(N(J83)),0),7)+1)</f>
        <v>0</v>
      </c>
      <c r="S83" s="60" t="n">
        <f aca="false">ROUND(Q83-R83,0)</f>
        <v>7108</v>
      </c>
      <c r="T83" s="57" t="n">
        <f aca="false">ROUND(N($E83)*Paramètres!$C$13,0)</f>
        <v>5322</v>
      </c>
      <c r="U83" s="57" t="n">
        <f aca="false">ROUND(MAX(0,N($E83)-(Q83-R83)-M83)*Paramètres!$C$12,0)</f>
        <v>1605</v>
      </c>
      <c r="V83" s="60" t="n">
        <f aca="false">ROUND(N($E83)-M83-S83-U83,0)</f>
        <v>158918</v>
      </c>
    </row>
    <row r="84" customFormat="false" ht="17.25" hidden="false" customHeight="true" outlineLevel="0" collapsed="false">
      <c r="B84" s="53" t="n">
        <v>73</v>
      </c>
      <c r="C84" s="54" t="s">
        <v>86</v>
      </c>
      <c r="D84" s="55" t="n">
        <v>46244</v>
      </c>
      <c r="E84" s="56" t="n">
        <f aca="false">'Juill-aout-sept 2026'!G82</f>
        <v>250000</v>
      </c>
      <c r="F84" s="57" t="n">
        <f aca="false">MIN(ROUNDDOWN(N($E84)*Paramètres!$C$16,0),Paramètres!$D$16)</f>
        <v>50000</v>
      </c>
      <c r="G84" s="57" t="n">
        <f aca="false">MIN(ROUNDDOWN(N($E84)*Paramètres!$C$17,0),Paramètres!$D$17)</f>
        <v>12500</v>
      </c>
      <c r="H84" s="57" t="n">
        <f aca="false">MIN(ROUNDDOWN(N($E84)*Paramètres!$C$18,0),Paramètres!$D$18)</f>
        <v>12500</v>
      </c>
      <c r="I84" s="57" t="n">
        <f aca="false">N($E84)-(F84+G84+H84)</f>
        <v>175000</v>
      </c>
      <c r="J84" s="58" t="n">
        <v>0</v>
      </c>
      <c r="K84" s="59" t="str">
        <f aca="false">IF(I84&lt;Paramètres!$C$11,"Cadre inférieur","Cadre supérieur")</f>
        <v>Cadre supérieur</v>
      </c>
      <c r="L84" s="57" t="n">
        <f aca="false">MIN(F84,MIN(N($E84)*Paramètres!$C$16,Paramètres!$D$16))+MIN(G84,MIN(N($E84)*Paramètres!$C$17,Paramètres!$D$17))+MIN(H84,MIN(N($E84)*Paramètres!$C$18,Paramètres!$D$18))</f>
        <v>75000</v>
      </c>
      <c r="M84" s="57" t="n">
        <f aca="false">MIN(N($E84),Paramètres!$C$7)*Paramètres!$C$6</f>
        <v>13750</v>
      </c>
      <c r="N84" s="57" t="n">
        <f aca="false">MIN(M84,I84*Paramètres!$C$8)</f>
        <v>13750</v>
      </c>
      <c r="O84" s="57" t="n">
        <f aca="false">I84*IF(K84="Cadre supérieur",Paramètres!$C$10,Paramètres!$C$9)</f>
        <v>35000</v>
      </c>
      <c r="P84" s="57" t="n">
        <f aca="false">MAX(0,ROUNDDOWN(N($E84)-L84-N84-O84,-2))</f>
        <v>126200</v>
      </c>
      <c r="Q84" s="57" t="n">
        <f aca="false">SUMPRODUCT((P84&gt;Paramètres!$B$21:$B$27)*(P84-Paramètres!$B$21:$B$27)*Paramètres!$E$21:$E$27)</f>
        <v>14010.8</v>
      </c>
      <c r="R84" s="57" t="n">
        <f aca="false">Q84*INDEX(Paramètres!$C$31:$C$38,MIN(MAX(INT(N(J84)),0),7)+1)</f>
        <v>0</v>
      </c>
      <c r="S84" s="60" t="n">
        <f aca="false">ROUND(Q84-R84,0)</f>
        <v>14011</v>
      </c>
      <c r="T84" s="57" t="n">
        <f aca="false">ROUND(N($E84)*Paramètres!$C$13,0)</f>
        <v>7500</v>
      </c>
      <c r="U84" s="57" t="n">
        <f aca="false">ROUND(MAX(0,N($E84)-(Q84-R84)-M84)*Paramètres!$C$12,0)</f>
        <v>2222</v>
      </c>
      <c r="V84" s="60" t="n">
        <f aca="false">ROUND(N($E84)-M84-S84-U84,0)</f>
        <v>220017</v>
      </c>
    </row>
    <row r="85" customFormat="false" ht="17.25" hidden="false" customHeight="true" outlineLevel="0" collapsed="false">
      <c r="B85" s="53" t="n">
        <v>74</v>
      </c>
      <c r="C85" s="54" t="s">
        <v>87</v>
      </c>
      <c r="D85" s="55" t="n">
        <v>46235</v>
      </c>
      <c r="E85" s="56" t="n">
        <f aca="false">'Juill-aout-sept 2026'!G83</f>
        <v>177387</v>
      </c>
      <c r="F85" s="57" t="n">
        <f aca="false">MIN(ROUNDDOWN(N($E85)*Paramètres!$C$16,0),Paramètres!$D$16)</f>
        <v>35477</v>
      </c>
      <c r="G85" s="57" t="n">
        <f aca="false">MIN(ROUNDDOWN(N($E85)*Paramètres!$C$17,0),Paramètres!$D$17)</f>
        <v>8869</v>
      </c>
      <c r="H85" s="57" t="n">
        <f aca="false">MIN(ROUNDDOWN(N($E85)*Paramètres!$C$18,0),Paramètres!$D$18)</f>
        <v>8869</v>
      </c>
      <c r="I85" s="57" t="n">
        <f aca="false">N($E85)-(F85+G85+H85)</f>
        <v>124172</v>
      </c>
      <c r="J85" s="58" t="n">
        <v>0</v>
      </c>
      <c r="K85" s="59" t="str">
        <f aca="false">IF(I85&lt;Paramètres!$C$11,"Cadre inférieur","Cadre supérieur")</f>
        <v>Cadre inférieur</v>
      </c>
      <c r="L85" s="57" t="n">
        <f aca="false">MIN(F85,MIN(N($E85)*Paramètres!$C$16,Paramètres!$D$16))+MIN(G85,MIN(N($E85)*Paramètres!$C$17,Paramètres!$D$17))+MIN(H85,MIN(N($E85)*Paramètres!$C$18,Paramètres!$D$18))</f>
        <v>53215</v>
      </c>
      <c r="M85" s="57" t="n">
        <f aca="false">MIN(N($E85),Paramètres!$C$7)*Paramètres!$C$6</f>
        <v>9756.285</v>
      </c>
      <c r="N85" s="57" t="n">
        <f aca="false">MIN(M85,I85*Paramètres!$C$8)</f>
        <v>9756.285</v>
      </c>
      <c r="O85" s="57" t="n">
        <f aca="false">I85*IF(K85="Cadre supérieur",Paramètres!$C$10,Paramètres!$C$9)</f>
        <v>31043</v>
      </c>
      <c r="P85" s="57" t="n">
        <f aca="false">MAX(0,ROUNDDOWN(N($E85)-L85-N85-O85,-2))</f>
        <v>83300</v>
      </c>
      <c r="Q85" s="57" t="n">
        <f aca="false">SUMPRODUCT((P85&gt;Paramètres!$B$21:$B$27)*(P85-Paramètres!$B$21:$B$27)*Paramètres!$E$21:$E$27)</f>
        <v>7108.1</v>
      </c>
      <c r="R85" s="57" t="n">
        <f aca="false">Q85*INDEX(Paramètres!$C$31:$C$38,MIN(MAX(INT(N(J85)),0),7)+1)</f>
        <v>0</v>
      </c>
      <c r="S85" s="60" t="n">
        <f aca="false">ROUND(Q85-R85,0)</f>
        <v>7108</v>
      </c>
      <c r="T85" s="57" t="n">
        <f aca="false">ROUND(N($E85)*Paramètres!$C$13,0)</f>
        <v>5322</v>
      </c>
      <c r="U85" s="57" t="n">
        <f aca="false">ROUND(MAX(0,N($E85)-(Q85-R85)-M85)*Paramètres!$C$12,0)</f>
        <v>1605</v>
      </c>
      <c r="V85" s="60" t="n">
        <f aca="false">ROUND(N($E85)-M85-S85-U85,0)</f>
        <v>158918</v>
      </c>
    </row>
    <row r="86" customFormat="false" ht="17.25" hidden="false" customHeight="true" outlineLevel="0" collapsed="false">
      <c r="B86" s="53" t="n">
        <v>75</v>
      </c>
      <c r="C86" s="54" t="s">
        <v>88</v>
      </c>
      <c r="D86" s="55" t="n">
        <v>46174</v>
      </c>
      <c r="E86" s="56" t="n">
        <f aca="false">'Juill-aout-sept 2026'!G84</f>
        <v>177387</v>
      </c>
      <c r="F86" s="57" t="n">
        <f aca="false">MIN(ROUNDDOWN(N($E86)*Paramètres!$C$16,0),Paramètres!$D$16)</f>
        <v>35477</v>
      </c>
      <c r="G86" s="57" t="n">
        <f aca="false">MIN(ROUNDDOWN(N($E86)*Paramètres!$C$17,0),Paramètres!$D$17)</f>
        <v>8869</v>
      </c>
      <c r="H86" s="57" t="n">
        <f aca="false">MIN(ROUNDDOWN(N($E86)*Paramètres!$C$18,0),Paramètres!$D$18)</f>
        <v>8869</v>
      </c>
      <c r="I86" s="57" t="n">
        <f aca="false">N($E86)-(F86+G86+H86)</f>
        <v>124172</v>
      </c>
      <c r="J86" s="58" t="n">
        <v>0</v>
      </c>
      <c r="K86" s="59" t="str">
        <f aca="false">IF(I86&lt;Paramètres!$C$11,"Cadre inférieur","Cadre supérieur")</f>
        <v>Cadre inférieur</v>
      </c>
      <c r="L86" s="57" t="n">
        <f aca="false">MIN(F86,MIN(N($E86)*Paramètres!$C$16,Paramètres!$D$16))+MIN(G86,MIN(N($E86)*Paramètres!$C$17,Paramètres!$D$17))+MIN(H86,MIN(N($E86)*Paramètres!$C$18,Paramètres!$D$18))</f>
        <v>53215</v>
      </c>
      <c r="M86" s="57" t="n">
        <f aca="false">MIN(N($E86),Paramètres!$C$7)*Paramètres!$C$6</f>
        <v>9756.285</v>
      </c>
      <c r="N86" s="57" t="n">
        <f aca="false">MIN(M86,I86*Paramètres!$C$8)</f>
        <v>9756.285</v>
      </c>
      <c r="O86" s="57" t="n">
        <f aca="false">I86*IF(K86="Cadre supérieur",Paramètres!$C$10,Paramètres!$C$9)</f>
        <v>31043</v>
      </c>
      <c r="P86" s="57" t="n">
        <f aca="false">MAX(0,ROUNDDOWN(N($E86)-L86-N86-O86,-2))</f>
        <v>83300</v>
      </c>
      <c r="Q86" s="57" t="n">
        <f aca="false">SUMPRODUCT((P86&gt;Paramètres!$B$21:$B$27)*(P86-Paramètres!$B$21:$B$27)*Paramètres!$E$21:$E$27)</f>
        <v>7108.1</v>
      </c>
      <c r="R86" s="57" t="n">
        <f aca="false">Q86*INDEX(Paramètres!$C$31:$C$38,MIN(MAX(INT(N(J86)),0),7)+1)</f>
        <v>0</v>
      </c>
      <c r="S86" s="60" t="n">
        <f aca="false">ROUND(Q86-R86,0)</f>
        <v>7108</v>
      </c>
      <c r="T86" s="57" t="n">
        <f aca="false">ROUND(N($E86)*Paramètres!$C$13,0)</f>
        <v>5322</v>
      </c>
      <c r="U86" s="57" t="n">
        <f aca="false">ROUND(MAX(0,N($E86)-(Q86-R86)-M86)*Paramètres!$C$12,0)</f>
        <v>1605</v>
      </c>
      <c r="V86" s="60" t="n">
        <f aca="false">ROUND(N($E86)-M86-S86-U86,0)</f>
        <v>158918</v>
      </c>
    </row>
    <row r="87" customFormat="false" ht="17.25" hidden="false" customHeight="true" outlineLevel="0" collapsed="false">
      <c r="B87" s="53" t="n">
        <v>76</v>
      </c>
      <c r="C87" s="54" t="s">
        <v>89</v>
      </c>
      <c r="D87" s="55" t="n">
        <v>46249</v>
      </c>
      <c r="E87" s="56" t="n">
        <f aca="false">'Juill-aout-sept 2026'!G85</f>
        <v>225778</v>
      </c>
      <c r="F87" s="57" t="n">
        <f aca="false">MIN(ROUNDDOWN(N($E87)*Paramètres!$C$16,0),Paramètres!$D$16)</f>
        <v>45155</v>
      </c>
      <c r="G87" s="57" t="n">
        <f aca="false">MIN(ROUNDDOWN(N($E87)*Paramètres!$C$17,0),Paramètres!$D$17)</f>
        <v>11288</v>
      </c>
      <c r="H87" s="57" t="n">
        <f aca="false">MIN(ROUNDDOWN(N($E87)*Paramètres!$C$18,0),Paramètres!$D$18)</f>
        <v>11288</v>
      </c>
      <c r="I87" s="57" t="n">
        <f aca="false">N($E87)-(F87+G87+H87)</f>
        <v>158047</v>
      </c>
      <c r="J87" s="58" t="n">
        <v>0</v>
      </c>
      <c r="K87" s="59" t="str">
        <f aca="false">IF(I87&lt;Paramètres!$C$11,"Cadre inférieur","Cadre supérieur")</f>
        <v>Cadre supérieur</v>
      </c>
      <c r="L87" s="57" t="n">
        <f aca="false">MIN(F87,MIN(N($E87)*Paramètres!$C$16,Paramètres!$D$16))+MIN(G87,MIN(N($E87)*Paramètres!$C$17,Paramètres!$D$17))+MIN(H87,MIN(N($E87)*Paramètres!$C$18,Paramètres!$D$18))</f>
        <v>67731</v>
      </c>
      <c r="M87" s="57" t="n">
        <f aca="false">MIN(N($E87),Paramètres!$C$7)*Paramètres!$C$6</f>
        <v>12417.79</v>
      </c>
      <c r="N87" s="57" t="n">
        <f aca="false">MIN(M87,I87*Paramètres!$C$8)</f>
        <v>12417.79</v>
      </c>
      <c r="O87" s="57" t="n">
        <f aca="false">I87*IF(K87="Cadre supérieur",Paramètres!$C$10,Paramètres!$C$9)</f>
        <v>31609.4</v>
      </c>
      <c r="P87" s="57" t="n">
        <f aca="false">MAX(0,ROUNDDOWN(N($E87)-L87-N87-O87,-2))</f>
        <v>114000</v>
      </c>
      <c r="Q87" s="57" t="n">
        <f aca="false">SUMPRODUCT((P87&gt;Paramètres!$B$21:$B$27)*(P87-Paramètres!$B$21:$B$27)*Paramètres!$E$21:$E$27)</f>
        <v>11928</v>
      </c>
      <c r="R87" s="57" t="n">
        <f aca="false">Q87*INDEX(Paramètres!$C$31:$C$38,MIN(MAX(INT(N(J87)),0),7)+1)</f>
        <v>0</v>
      </c>
      <c r="S87" s="60" t="n">
        <f aca="false">ROUND(Q87-R87,0)</f>
        <v>11928</v>
      </c>
      <c r="T87" s="57" t="n">
        <f aca="false">ROUND(N($E87)*Paramètres!$C$13,0)</f>
        <v>6773</v>
      </c>
      <c r="U87" s="57" t="n">
        <f aca="false">ROUND(MAX(0,N($E87)-(Q87-R87)-M87)*Paramètres!$C$12,0)</f>
        <v>2014</v>
      </c>
      <c r="V87" s="60" t="n">
        <f aca="false">ROUND(N($E87)-M87-S87-U87,0)</f>
        <v>199418</v>
      </c>
    </row>
    <row r="88" customFormat="false" ht="17.25" hidden="false" customHeight="true" outlineLevel="0" collapsed="false">
      <c r="B88" s="53" t="n">
        <v>77</v>
      </c>
      <c r="C88" s="54" t="s">
        <v>90</v>
      </c>
      <c r="D88" s="55" t="n">
        <v>46296</v>
      </c>
      <c r="E88" s="56" t="n">
        <f aca="false">'Juill-aout-sept 2026'!G86</f>
        <v>0</v>
      </c>
      <c r="F88" s="57" t="n">
        <f aca="false">MIN(ROUNDDOWN(N($E88)*Paramètres!$C$16,0),Paramètres!$D$16)</f>
        <v>0</v>
      </c>
      <c r="G88" s="57" t="n">
        <f aca="false">MIN(ROUNDDOWN(N($E88)*Paramètres!$C$17,0),Paramètres!$D$17)</f>
        <v>0</v>
      </c>
      <c r="H88" s="57" t="n">
        <f aca="false">MIN(ROUNDDOWN(N($E88)*Paramètres!$C$18,0),Paramètres!$D$18)</f>
        <v>0</v>
      </c>
      <c r="I88" s="57" t="n">
        <f aca="false">N($E88)-(F88+G88+H88)</f>
        <v>0</v>
      </c>
      <c r="J88" s="58" t="n">
        <v>0</v>
      </c>
      <c r="K88" s="59" t="str">
        <f aca="false">IF(I88&lt;Paramètres!$C$11,"Cadre inférieur","Cadre supérieur")</f>
        <v>Cadre inférieur</v>
      </c>
      <c r="L88" s="57" t="n">
        <f aca="false">MIN(F88,MIN(N($E88)*Paramètres!$C$16,Paramètres!$D$16))+MIN(G88,MIN(N($E88)*Paramètres!$C$17,Paramètres!$D$17))+MIN(H88,MIN(N($E88)*Paramètres!$C$18,Paramètres!$D$18))</f>
        <v>0</v>
      </c>
      <c r="M88" s="57" t="n">
        <f aca="false">MIN(N($E88),Paramètres!$C$7)*Paramètres!$C$6</f>
        <v>0</v>
      </c>
      <c r="N88" s="57" t="n">
        <f aca="false">MIN(M88,I88*Paramètres!$C$8)</f>
        <v>0</v>
      </c>
      <c r="O88" s="57" t="n">
        <f aca="false">I88*IF(K88="Cadre supérieur",Paramètres!$C$10,Paramètres!$C$9)</f>
        <v>0</v>
      </c>
      <c r="P88" s="57" t="n">
        <f aca="false">MAX(0,ROUNDDOWN(N($E88)-L88-N88-O88,-2))</f>
        <v>0</v>
      </c>
      <c r="Q88" s="57" t="n">
        <f aca="false">SUMPRODUCT((P88&gt;Paramètres!$B$21:$B$27)*(P88-Paramètres!$B$21:$B$27)*Paramètres!$E$21:$E$27)</f>
        <v>0</v>
      </c>
      <c r="R88" s="57" t="n">
        <f aca="false">Q88*INDEX(Paramètres!$C$31:$C$38,MIN(MAX(INT(N(J88)),0),7)+1)</f>
        <v>0</v>
      </c>
      <c r="S88" s="60" t="n">
        <f aca="false">ROUND(Q88-R88,0)</f>
        <v>0</v>
      </c>
      <c r="T88" s="57" t="n">
        <f aca="false">ROUND(N($E88)*Paramètres!$C$13,0)</f>
        <v>0</v>
      </c>
      <c r="U88" s="57" t="n">
        <f aca="false">ROUND(MAX(0,N($E88)-(Q88-R88)-M88)*Paramètres!$C$12,0)</f>
        <v>0</v>
      </c>
      <c r="V88" s="60" t="n">
        <f aca="false">ROUND(N($E88)-M88-S88-U88,0)</f>
        <v>0</v>
      </c>
    </row>
    <row r="89" customFormat="false" ht="17.25" hidden="false" customHeight="true" outlineLevel="0" collapsed="false">
      <c r="B89" s="53" t="n">
        <v>78</v>
      </c>
      <c r="C89" s="54" t="s">
        <v>91</v>
      </c>
      <c r="D89" s="55" t="n">
        <v>45901</v>
      </c>
      <c r="E89" s="56" t="n">
        <f aca="false">'Juill-aout-sept 2026'!G87</f>
        <v>213566</v>
      </c>
      <c r="F89" s="57" t="n">
        <f aca="false">MIN(ROUNDDOWN(N($E89)*Paramètres!$C$16,0),Paramètres!$D$16)</f>
        <v>42713</v>
      </c>
      <c r="G89" s="57" t="n">
        <f aca="false">MIN(ROUNDDOWN(N($E89)*Paramètres!$C$17,0),Paramètres!$D$17)</f>
        <v>10678</v>
      </c>
      <c r="H89" s="57" t="n">
        <f aca="false">MIN(ROUNDDOWN(N($E89)*Paramètres!$C$18,0),Paramètres!$D$18)</f>
        <v>10678</v>
      </c>
      <c r="I89" s="57" t="n">
        <f aca="false">N($E89)-(F89+G89+H89)</f>
        <v>149497</v>
      </c>
      <c r="J89" s="58" t="n">
        <v>0</v>
      </c>
      <c r="K89" s="59" t="str">
        <f aca="false">IF(I89&lt;Paramètres!$C$11,"Cadre inférieur","Cadre supérieur")</f>
        <v>Cadre inférieur</v>
      </c>
      <c r="L89" s="57" t="n">
        <f aca="false">MIN(F89,MIN(N($E89)*Paramètres!$C$16,Paramètres!$D$16))+MIN(G89,MIN(N($E89)*Paramètres!$C$17,Paramètres!$D$17))+MIN(H89,MIN(N($E89)*Paramètres!$C$18,Paramètres!$D$18))</f>
        <v>64069</v>
      </c>
      <c r="M89" s="57" t="n">
        <f aca="false">MIN(N($E89),Paramètres!$C$7)*Paramètres!$C$6</f>
        <v>11746.13</v>
      </c>
      <c r="N89" s="57" t="n">
        <f aca="false">MIN(M89,I89*Paramètres!$C$8)</f>
        <v>11746.13</v>
      </c>
      <c r="O89" s="57" t="n">
        <f aca="false">I89*IF(K89="Cadre supérieur",Paramètres!$C$10,Paramètres!$C$9)</f>
        <v>37374.25</v>
      </c>
      <c r="P89" s="57" t="n">
        <f aca="false">MAX(0,ROUNDDOWN(N($E89)-L89-N89-O89,-2))</f>
        <v>100300</v>
      </c>
      <c r="Q89" s="57" t="n">
        <f aca="false">SUMPRODUCT((P89&gt;Paramètres!$B$21:$B$27)*(P89-Paramètres!$B$21:$B$27)*Paramètres!$E$21:$E$27)</f>
        <v>9777.1</v>
      </c>
      <c r="R89" s="57" t="n">
        <f aca="false">Q89*INDEX(Paramètres!$C$31:$C$38,MIN(MAX(INT(N(J89)),0),7)+1)</f>
        <v>0</v>
      </c>
      <c r="S89" s="60" t="n">
        <f aca="false">ROUND(Q89-R89,0)</f>
        <v>9777</v>
      </c>
      <c r="T89" s="57" t="n">
        <f aca="false">ROUND(N($E89)*Paramètres!$C$13,0)</f>
        <v>6407</v>
      </c>
      <c r="U89" s="57" t="n">
        <f aca="false">ROUND(MAX(0,N($E89)-(Q89-R89)-M89)*Paramètres!$C$12,0)</f>
        <v>1920</v>
      </c>
      <c r="V89" s="60" t="n">
        <f aca="false">ROUND(N($E89)-M89-S89-U89,0)</f>
        <v>190123</v>
      </c>
    </row>
    <row r="90" customFormat="false" ht="17.25" hidden="false" customHeight="true" outlineLevel="0" collapsed="false">
      <c r="B90" s="53"/>
      <c r="C90" s="54" t="s">
        <v>92</v>
      </c>
      <c r="D90" s="55"/>
      <c r="E90" s="56" t="n">
        <f aca="false">'Juill-aout-sept 2026'!G88</f>
        <v>0</v>
      </c>
      <c r="F90" s="57" t="n">
        <f aca="false">MIN(ROUNDDOWN(N($E90)*Paramètres!$C$16,0),Paramètres!$D$16)</f>
        <v>0</v>
      </c>
      <c r="G90" s="57" t="n">
        <f aca="false">MIN(ROUNDDOWN(N($E90)*Paramètres!$C$17,0),Paramètres!$D$17)</f>
        <v>0</v>
      </c>
      <c r="H90" s="57" t="n">
        <f aca="false">MIN(ROUNDDOWN(N($E90)*Paramètres!$C$18,0),Paramètres!$D$18)</f>
        <v>0</v>
      </c>
      <c r="I90" s="57" t="n">
        <f aca="false">N($E90)-(F90+G90+H90)</f>
        <v>0</v>
      </c>
      <c r="J90" s="58" t="n">
        <v>0</v>
      </c>
      <c r="K90" s="59" t="str">
        <f aca="false">IF(I90&lt;Paramètres!$C$11,"Cadre inférieur","Cadre supérieur")</f>
        <v>Cadre inférieur</v>
      </c>
      <c r="L90" s="57" t="n">
        <f aca="false">MIN(F90,MIN(N($E90)*Paramètres!$C$16,Paramètres!$D$16))+MIN(G90,MIN(N($E90)*Paramètres!$C$17,Paramètres!$D$17))+MIN(H90,MIN(N($E90)*Paramètres!$C$18,Paramètres!$D$18))</f>
        <v>0</v>
      </c>
      <c r="M90" s="57" t="n">
        <f aca="false">MIN(N($E90),Paramètres!$C$7)*Paramètres!$C$6</f>
        <v>0</v>
      </c>
      <c r="N90" s="57" t="n">
        <f aca="false">MIN(M90,I90*Paramètres!$C$8)</f>
        <v>0</v>
      </c>
      <c r="O90" s="57" t="n">
        <f aca="false">I90*IF(K90="Cadre supérieur",Paramètres!$C$10,Paramètres!$C$9)</f>
        <v>0</v>
      </c>
      <c r="P90" s="57" t="n">
        <f aca="false">MAX(0,ROUNDDOWN(N($E90)-L90-N90-O90,-2))</f>
        <v>0</v>
      </c>
      <c r="Q90" s="57" t="n">
        <f aca="false">SUMPRODUCT((P90&gt;Paramètres!$B$21:$B$27)*(P90-Paramètres!$B$21:$B$27)*Paramètres!$E$21:$E$27)</f>
        <v>0</v>
      </c>
      <c r="R90" s="57" t="n">
        <f aca="false">Q90*INDEX(Paramètres!$C$31:$C$38,MIN(MAX(INT(N(J90)),0),7)+1)</f>
        <v>0</v>
      </c>
      <c r="S90" s="60" t="n">
        <f aca="false">ROUND(Q90-R90,0)</f>
        <v>0</v>
      </c>
      <c r="T90" s="57" t="n">
        <f aca="false">ROUND(N($E90)*Paramètres!$C$13,0)</f>
        <v>0</v>
      </c>
      <c r="U90" s="57" t="n">
        <f aca="false">ROUND(MAX(0,N($E90)-(Q90-R90)-M90)*Paramètres!$C$12,0)</f>
        <v>0</v>
      </c>
      <c r="V90" s="60" t="n">
        <f aca="false">ROUND(N($E90)-M90-S90-U90,0)</f>
        <v>0</v>
      </c>
    </row>
    <row r="91" customFormat="false" ht="17.25" hidden="false" customHeight="true" outlineLevel="0" collapsed="false">
      <c r="B91" s="53"/>
      <c r="C91" s="54" t="s">
        <v>93</v>
      </c>
      <c r="D91" s="55"/>
      <c r="E91" s="56" t="n">
        <f aca="false">'Juill-aout-sept 2026'!G89</f>
        <v>0</v>
      </c>
      <c r="F91" s="57" t="n">
        <f aca="false">MIN(ROUNDDOWN(N($E91)*Paramètres!$C$16,0),Paramètres!$D$16)</f>
        <v>0</v>
      </c>
      <c r="G91" s="57" t="n">
        <f aca="false">MIN(ROUNDDOWN(N($E91)*Paramètres!$C$17,0),Paramètres!$D$17)</f>
        <v>0</v>
      </c>
      <c r="H91" s="57" t="n">
        <f aca="false">MIN(ROUNDDOWN(N($E91)*Paramètres!$C$18,0),Paramètres!$D$18)</f>
        <v>0</v>
      </c>
      <c r="I91" s="57" t="n">
        <f aca="false">N($E91)-(F91+G91+H91)</f>
        <v>0</v>
      </c>
      <c r="J91" s="58" t="n">
        <v>0</v>
      </c>
      <c r="K91" s="59" t="str">
        <f aca="false">IF(I91&lt;Paramètres!$C$11,"Cadre inférieur","Cadre supérieur")</f>
        <v>Cadre inférieur</v>
      </c>
      <c r="L91" s="57" t="n">
        <f aca="false">MIN(F91,MIN(N($E91)*Paramètres!$C$16,Paramètres!$D$16))+MIN(G91,MIN(N($E91)*Paramètres!$C$17,Paramètres!$D$17))+MIN(H91,MIN(N($E91)*Paramètres!$C$18,Paramètres!$D$18))</f>
        <v>0</v>
      </c>
      <c r="M91" s="57" t="n">
        <f aca="false">MIN(N($E91),Paramètres!$C$7)*Paramètres!$C$6</f>
        <v>0</v>
      </c>
      <c r="N91" s="57" t="n">
        <f aca="false">MIN(M91,I91*Paramètres!$C$8)</f>
        <v>0</v>
      </c>
      <c r="O91" s="57" t="n">
        <f aca="false">I91*IF(K91="Cadre supérieur",Paramètres!$C$10,Paramètres!$C$9)</f>
        <v>0</v>
      </c>
      <c r="P91" s="57" t="n">
        <f aca="false">MAX(0,ROUNDDOWN(N($E91)-L91-N91-O91,-2))</f>
        <v>0</v>
      </c>
      <c r="Q91" s="57" t="n">
        <f aca="false">SUMPRODUCT((P91&gt;Paramètres!$B$21:$B$27)*(P91-Paramètres!$B$21:$B$27)*Paramètres!$E$21:$E$27)</f>
        <v>0</v>
      </c>
      <c r="R91" s="57" t="n">
        <f aca="false">Q91*INDEX(Paramètres!$C$31:$C$38,MIN(MAX(INT(N(J91)),0),7)+1)</f>
        <v>0</v>
      </c>
      <c r="S91" s="60" t="n">
        <f aca="false">ROUND(Q91-R91,0)</f>
        <v>0</v>
      </c>
      <c r="T91" s="57" t="n">
        <f aca="false">ROUND(N($E91)*Paramètres!$C$13,0)</f>
        <v>0</v>
      </c>
      <c r="U91" s="57" t="n">
        <f aca="false">ROUND(MAX(0,N($E91)-(Q91-R91)-M91)*Paramètres!$C$12,0)</f>
        <v>0</v>
      </c>
      <c r="V91" s="60" t="n">
        <f aca="false">ROUND(N($E91)-M91-S91-U91,0)</f>
        <v>0</v>
      </c>
    </row>
    <row r="92" customFormat="false" ht="17.25" hidden="false" customHeight="true" outlineLevel="0" collapsed="false">
      <c r="B92" s="53" t="n">
        <v>79</v>
      </c>
      <c r="C92" s="54" t="s">
        <v>94</v>
      </c>
      <c r="D92" s="55" t="n">
        <v>45778</v>
      </c>
      <c r="E92" s="56" t="n">
        <f aca="false">'Juill-aout-sept 2026'!G90</f>
        <v>231913</v>
      </c>
      <c r="F92" s="57" t="n">
        <f aca="false">MIN(ROUNDDOWN(N($E92)*Paramètres!$C$16,0),Paramètres!$D$16)</f>
        <v>46382</v>
      </c>
      <c r="G92" s="57" t="n">
        <f aca="false">MIN(ROUNDDOWN(N($E92)*Paramètres!$C$17,0),Paramètres!$D$17)</f>
        <v>11595</v>
      </c>
      <c r="H92" s="57" t="n">
        <f aca="false">MIN(ROUNDDOWN(N($E92)*Paramètres!$C$18,0),Paramètres!$D$18)</f>
        <v>11595</v>
      </c>
      <c r="I92" s="57" t="n">
        <f aca="false">N($E92)-(F92+G92+H92)</f>
        <v>162341</v>
      </c>
      <c r="J92" s="58" t="n">
        <v>0</v>
      </c>
      <c r="K92" s="59" t="str">
        <f aca="false">IF(I92&lt;Paramètres!$C$11,"Cadre inférieur","Cadre supérieur")</f>
        <v>Cadre supérieur</v>
      </c>
      <c r="L92" s="57" t="n">
        <f aca="false">MIN(F92,MIN(N($E92)*Paramètres!$C$16,Paramètres!$D$16))+MIN(G92,MIN(N($E92)*Paramètres!$C$17,Paramètres!$D$17))+MIN(H92,MIN(N($E92)*Paramètres!$C$18,Paramètres!$D$18))</f>
        <v>69572</v>
      </c>
      <c r="M92" s="57" t="n">
        <f aca="false">MIN(N($E92),Paramètres!$C$7)*Paramètres!$C$6</f>
        <v>12755.215</v>
      </c>
      <c r="N92" s="57" t="n">
        <f aca="false">MIN(M92,I92*Paramètres!$C$8)</f>
        <v>12755.215</v>
      </c>
      <c r="O92" s="57" t="n">
        <f aca="false">I92*IF(K92="Cadre supérieur",Paramètres!$C$10,Paramètres!$C$9)</f>
        <v>32468.2</v>
      </c>
      <c r="P92" s="57" t="n">
        <f aca="false">MAX(0,ROUNDDOWN(N($E92)-L92-N92-O92,-2))</f>
        <v>117100</v>
      </c>
      <c r="Q92" s="57" t="n">
        <f aca="false">SUMPRODUCT((P92&gt;Paramètres!$B$21:$B$27)*(P92-Paramètres!$B$21:$B$27)*Paramètres!$E$21:$E$27)</f>
        <v>12414.7</v>
      </c>
      <c r="R92" s="57" t="n">
        <f aca="false">Q92*INDEX(Paramètres!$C$31:$C$38,MIN(MAX(INT(N(J92)),0),7)+1)</f>
        <v>0</v>
      </c>
      <c r="S92" s="60" t="n">
        <f aca="false">ROUND(Q92-R92,0)</f>
        <v>12415</v>
      </c>
      <c r="T92" s="57" t="n">
        <f aca="false">ROUND(N($E92)*Paramètres!$C$13,0)</f>
        <v>6957</v>
      </c>
      <c r="U92" s="57" t="n">
        <f aca="false">ROUND(MAX(0,N($E92)-(Q92-R92)-M92)*Paramètres!$C$12,0)</f>
        <v>2067</v>
      </c>
      <c r="V92" s="60" t="n">
        <f aca="false">ROUND(N($E92)-M92-S92-U92,0)</f>
        <v>204676</v>
      </c>
    </row>
    <row r="93" customFormat="false" ht="17.25" hidden="false" customHeight="true" outlineLevel="0" collapsed="false">
      <c r="B93" s="53" t="n">
        <v>80</v>
      </c>
      <c r="C93" s="54" t="s">
        <v>95</v>
      </c>
      <c r="D93" s="55" t="n">
        <v>46061</v>
      </c>
      <c r="E93" s="56" t="n">
        <f aca="false">'Juill-aout-sept 2026'!G91</f>
        <v>213566</v>
      </c>
      <c r="F93" s="57" t="n">
        <f aca="false">MIN(ROUNDDOWN(N($E93)*Paramètres!$C$16,0),Paramètres!$D$16)</f>
        <v>42713</v>
      </c>
      <c r="G93" s="57" t="n">
        <f aca="false">MIN(ROUNDDOWN(N($E93)*Paramètres!$C$17,0),Paramètres!$D$17)</f>
        <v>10678</v>
      </c>
      <c r="H93" s="57" t="n">
        <f aca="false">MIN(ROUNDDOWN(N($E93)*Paramètres!$C$18,0),Paramètres!$D$18)</f>
        <v>10678</v>
      </c>
      <c r="I93" s="57" t="n">
        <f aca="false">N($E93)-(F93+G93+H93)</f>
        <v>149497</v>
      </c>
      <c r="J93" s="58" t="n">
        <v>0</v>
      </c>
      <c r="K93" s="59" t="str">
        <f aca="false">IF(I93&lt;Paramètres!$C$11,"Cadre inférieur","Cadre supérieur")</f>
        <v>Cadre inférieur</v>
      </c>
      <c r="L93" s="57" t="n">
        <f aca="false">MIN(F93,MIN(N($E93)*Paramètres!$C$16,Paramètres!$D$16))+MIN(G93,MIN(N($E93)*Paramètres!$C$17,Paramètres!$D$17))+MIN(H93,MIN(N($E93)*Paramètres!$C$18,Paramètres!$D$18))</f>
        <v>64069</v>
      </c>
      <c r="M93" s="57" t="n">
        <f aca="false">MIN(N($E93),Paramètres!$C$7)*Paramètres!$C$6</f>
        <v>11746.13</v>
      </c>
      <c r="N93" s="57" t="n">
        <f aca="false">MIN(M93,I93*Paramètres!$C$8)</f>
        <v>11746.13</v>
      </c>
      <c r="O93" s="57" t="n">
        <f aca="false">I93*IF(K93="Cadre supérieur",Paramètres!$C$10,Paramètres!$C$9)</f>
        <v>37374.25</v>
      </c>
      <c r="P93" s="57" t="n">
        <f aca="false">MAX(0,ROUNDDOWN(N($E93)-L93-N93-O93,-2))</f>
        <v>100300</v>
      </c>
      <c r="Q93" s="57" t="n">
        <f aca="false">SUMPRODUCT((P93&gt;Paramètres!$B$21:$B$27)*(P93-Paramètres!$B$21:$B$27)*Paramètres!$E$21:$E$27)</f>
        <v>9777.1</v>
      </c>
      <c r="R93" s="57" t="n">
        <f aca="false">Q93*INDEX(Paramètres!$C$31:$C$38,MIN(MAX(INT(N(J93)),0),7)+1)</f>
        <v>0</v>
      </c>
      <c r="S93" s="60" t="n">
        <f aca="false">ROUND(Q93-R93,0)</f>
        <v>9777</v>
      </c>
      <c r="T93" s="57" t="n">
        <f aca="false">ROUND(N($E93)*Paramètres!$C$13,0)</f>
        <v>6407</v>
      </c>
      <c r="U93" s="57" t="n">
        <f aca="false">ROUND(MAX(0,N($E93)-(Q93-R93)-M93)*Paramètres!$C$12,0)</f>
        <v>1920</v>
      </c>
      <c r="V93" s="60" t="n">
        <f aca="false">ROUND(N($E93)-M93-S93-U93,0)</f>
        <v>190123</v>
      </c>
    </row>
    <row r="94" customFormat="false" ht="17.25" hidden="false" customHeight="true" outlineLevel="0" collapsed="false">
      <c r="B94" s="53" t="n">
        <v>81</v>
      </c>
      <c r="C94" s="54" t="s">
        <v>96</v>
      </c>
      <c r="D94" s="55" t="n">
        <v>46220</v>
      </c>
      <c r="E94" s="56" t="n">
        <f aca="false">'Juill-aout-sept 2026'!G92</f>
        <v>195484</v>
      </c>
      <c r="F94" s="57" t="n">
        <f aca="false">MIN(ROUNDDOWN(N($E94)*Paramètres!$C$16,0),Paramètres!$D$16)</f>
        <v>39096</v>
      </c>
      <c r="G94" s="57" t="n">
        <f aca="false">MIN(ROUNDDOWN(N($E94)*Paramètres!$C$17,0),Paramètres!$D$17)</f>
        <v>9774</v>
      </c>
      <c r="H94" s="57" t="n">
        <f aca="false">MIN(ROUNDDOWN(N($E94)*Paramètres!$C$18,0),Paramètres!$D$18)</f>
        <v>9774</v>
      </c>
      <c r="I94" s="57" t="n">
        <f aca="false">N($E94)-(F94+G94+H94)</f>
        <v>136840</v>
      </c>
      <c r="J94" s="58" t="n">
        <v>0</v>
      </c>
      <c r="K94" s="59" t="str">
        <f aca="false">IF(I94&lt;Paramètres!$C$11,"Cadre inférieur","Cadre supérieur")</f>
        <v>Cadre inférieur</v>
      </c>
      <c r="L94" s="57" t="n">
        <f aca="false">MIN(F94,MIN(N($E94)*Paramètres!$C$16,Paramètres!$D$16))+MIN(G94,MIN(N($E94)*Paramètres!$C$17,Paramètres!$D$17))+MIN(H94,MIN(N($E94)*Paramètres!$C$18,Paramètres!$D$18))</f>
        <v>58644</v>
      </c>
      <c r="M94" s="57" t="n">
        <f aca="false">MIN(N($E94),Paramètres!$C$7)*Paramètres!$C$6</f>
        <v>10751.62</v>
      </c>
      <c r="N94" s="57" t="n">
        <f aca="false">MIN(M94,I94*Paramètres!$C$8)</f>
        <v>10751.62</v>
      </c>
      <c r="O94" s="57" t="n">
        <f aca="false">I94*IF(K94="Cadre supérieur",Paramètres!$C$10,Paramètres!$C$9)</f>
        <v>34210</v>
      </c>
      <c r="P94" s="57" t="n">
        <f aca="false">MAX(0,ROUNDDOWN(N($E94)-L94-N94-O94,-2))</f>
        <v>91800</v>
      </c>
      <c r="Q94" s="57" t="n">
        <f aca="false">SUMPRODUCT((P94&gt;Paramètres!$B$21:$B$27)*(P94-Paramètres!$B$21:$B$27)*Paramètres!$E$21:$E$27)</f>
        <v>8442.6</v>
      </c>
      <c r="R94" s="57" t="n">
        <f aca="false">Q94*INDEX(Paramètres!$C$31:$C$38,MIN(MAX(INT(N(J94)),0),7)+1)</f>
        <v>0</v>
      </c>
      <c r="S94" s="60" t="n">
        <f aca="false">ROUND(Q94-R94,0)</f>
        <v>8443</v>
      </c>
      <c r="T94" s="57" t="n">
        <f aca="false">ROUND(N($E94)*Paramètres!$C$13,0)</f>
        <v>5865</v>
      </c>
      <c r="U94" s="57" t="n">
        <f aca="false">ROUND(MAX(0,N($E94)-(Q94-R94)-M94)*Paramètres!$C$12,0)</f>
        <v>1763</v>
      </c>
      <c r="V94" s="60" t="n">
        <f aca="false">ROUND(N($E94)-M94-S94-U94,0)</f>
        <v>174526</v>
      </c>
    </row>
    <row r="95" customFormat="false" ht="17.25" hidden="false" customHeight="true" outlineLevel="0" collapsed="false">
      <c r="B95" s="53" t="n">
        <v>82</v>
      </c>
      <c r="C95" s="54" t="s">
        <v>97</v>
      </c>
      <c r="D95" s="55" t="n">
        <v>46174</v>
      </c>
      <c r="E95" s="56" t="n">
        <f aca="false">'Juill-aout-sept 2026'!G93</f>
        <v>177387</v>
      </c>
      <c r="F95" s="57" t="n">
        <f aca="false">MIN(ROUNDDOWN(N($E95)*Paramètres!$C$16,0),Paramètres!$D$16)</f>
        <v>35477</v>
      </c>
      <c r="G95" s="57" t="n">
        <f aca="false">MIN(ROUNDDOWN(N($E95)*Paramètres!$C$17,0),Paramètres!$D$17)</f>
        <v>8869</v>
      </c>
      <c r="H95" s="57" t="n">
        <f aca="false">MIN(ROUNDDOWN(N($E95)*Paramètres!$C$18,0),Paramètres!$D$18)</f>
        <v>8869</v>
      </c>
      <c r="I95" s="57" t="n">
        <f aca="false">N($E95)-(F95+G95+H95)</f>
        <v>124172</v>
      </c>
      <c r="J95" s="58" t="n">
        <v>0</v>
      </c>
      <c r="K95" s="59" t="str">
        <f aca="false">IF(I95&lt;Paramètres!$C$11,"Cadre inférieur","Cadre supérieur")</f>
        <v>Cadre inférieur</v>
      </c>
      <c r="L95" s="57" t="n">
        <f aca="false">MIN(F95,MIN(N($E95)*Paramètres!$C$16,Paramètres!$D$16))+MIN(G95,MIN(N($E95)*Paramètres!$C$17,Paramètres!$D$17))+MIN(H95,MIN(N($E95)*Paramètres!$C$18,Paramètres!$D$18))</f>
        <v>53215</v>
      </c>
      <c r="M95" s="57" t="n">
        <f aca="false">MIN(N($E95),Paramètres!$C$7)*Paramètres!$C$6</f>
        <v>9756.285</v>
      </c>
      <c r="N95" s="57" t="n">
        <f aca="false">MIN(M95,I95*Paramètres!$C$8)</f>
        <v>9756.285</v>
      </c>
      <c r="O95" s="57" t="n">
        <f aca="false">I95*IF(K95="Cadre supérieur",Paramètres!$C$10,Paramètres!$C$9)</f>
        <v>31043</v>
      </c>
      <c r="P95" s="57" t="n">
        <f aca="false">MAX(0,ROUNDDOWN(N($E95)-L95-N95-O95,-2))</f>
        <v>83300</v>
      </c>
      <c r="Q95" s="57" t="n">
        <f aca="false">SUMPRODUCT((P95&gt;Paramètres!$B$21:$B$27)*(P95-Paramètres!$B$21:$B$27)*Paramètres!$E$21:$E$27)</f>
        <v>7108.1</v>
      </c>
      <c r="R95" s="57" t="n">
        <f aca="false">Q95*INDEX(Paramètres!$C$31:$C$38,MIN(MAX(INT(N(J95)),0),7)+1)</f>
        <v>0</v>
      </c>
      <c r="S95" s="60" t="n">
        <f aca="false">ROUND(Q95-R95,0)</f>
        <v>7108</v>
      </c>
      <c r="T95" s="57" t="n">
        <f aca="false">ROUND(N($E95)*Paramètres!$C$13,0)</f>
        <v>5322</v>
      </c>
      <c r="U95" s="57" t="n">
        <f aca="false">ROUND(MAX(0,N($E95)-(Q95-R95)-M95)*Paramètres!$C$12,0)</f>
        <v>1605</v>
      </c>
      <c r="V95" s="60" t="n">
        <f aca="false">ROUND(N($E95)-M95-S95-U95,0)</f>
        <v>158918</v>
      </c>
    </row>
    <row r="96" customFormat="false" ht="17.25" hidden="false" customHeight="true" outlineLevel="0" collapsed="false">
      <c r="B96" s="53" t="n">
        <v>83</v>
      </c>
      <c r="C96" s="54" t="s">
        <v>98</v>
      </c>
      <c r="D96" s="55" t="n">
        <v>45784</v>
      </c>
      <c r="E96" s="56" t="n">
        <f aca="false">'Juill-aout-sept 2026'!G94</f>
        <v>108397</v>
      </c>
      <c r="F96" s="57" t="n">
        <f aca="false">MIN(ROUNDDOWN(N($E96)*Paramètres!$C$16,0),Paramètres!$D$16)</f>
        <v>21679</v>
      </c>
      <c r="G96" s="57" t="n">
        <f aca="false">MIN(ROUNDDOWN(N($E96)*Paramètres!$C$17,0),Paramètres!$D$17)</f>
        <v>5419</v>
      </c>
      <c r="H96" s="57" t="n">
        <f aca="false">MIN(ROUNDDOWN(N($E96)*Paramètres!$C$18,0),Paramètres!$D$18)</f>
        <v>5419</v>
      </c>
      <c r="I96" s="57" t="n">
        <f aca="false">N($E96)-(F96+G96+H96)</f>
        <v>75880</v>
      </c>
      <c r="J96" s="58" t="n">
        <v>0</v>
      </c>
      <c r="K96" s="59" t="str">
        <f aca="false">IF(I96&lt;Paramètres!$C$11,"Cadre inférieur","Cadre supérieur")</f>
        <v>Cadre inférieur</v>
      </c>
      <c r="L96" s="57" t="n">
        <f aca="false">MIN(F96,MIN(N($E96)*Paramètres!$C$16,Paramètres!$D$16))+MIN(G96,MIN(N($E96)*Paramètres!$C$17,Paramètres!$D$17))+MIN(H96,MIN(N($E96)*Paramètres!$C$18,Paramètres!$D$18))</f>
        <v>32517</v>
      </c>
      <c r="M96" s="57" t="n">
        <f aca="false">MIN(N($E96),Paramètres!$C$7)*Paramètres!$C$6</f>
        <v>5961.835</v>
      </c>
      <c r="N96" s="57" t="n">
        <f aca="false">MIN(M96,I96*Paramètres!$C$8)</f>
        <v>5961.835</v>
      </c>
      <c r="O96" s="57" t="n">
        <f aca="false">I96*IF(K96="Cadre supérieur",Paramètres!$C$10,Paramètres!$C$9)</f>
        <v>18970</v>
      </c>
      <c r="P96" s="57" t="n">
        <f aca="false">MAX(0,ROUNDDOWN(N($E96)-L96-N96-O96,-2))</f>
        <v>50900</v>
      </c>
      <c r="Q96" s="57" t="n">
        <f aca="false">SUMPRODUCT((P96&gt;Paramètres!$B$21:$B$27)*(P96-Paramètres!$B$21:$B$27)*Paramètres!$E$21:$E$27)</f>
        <v>2545.1</v>
      </c>
      <c r="R96" s="57" t="n">
        <f aca="false">Q96*INDEX(Paramètres!$C$31:$C$38,MIN(MAX(INT(N(J96)),0),7)+1)</f>
        <v>0</v>
      </c>
      <c r="S96" s="60" t="n">
        <f aca="false">ROUND(Q96-R96,0)</f>
        <v>2545</v>
      </c>
      <c r="T96" s="57" t="n">
        <f aca="false">ROUND(N($E96)*Paramètres!$C$13,0)</f>
        <v>3252</v>
      </c>
      <c r="U96" s="57" t="n">
        <f aca="false">ROUND(MAX(0,N($E96)-(Q96-R96)-M96)*Paramètres!$C$12,0)</f>
        <v>999</v>
      </c>
      <c r="V96" s="60" t="n">
        <f aca="false">ROUND(N($E96)-M96-S96-U96,0)</f>
        <v>98891</v>
      </c>
    </row>
    <row r="97" customFormat="false" ht="17.25" hidden="false" customHeight="true" outlineLevel="0" collapsed="false">
      <c r="B97" s="53" t="n">
        <v>84</v>
      </c>
      <c r="C97" s="54" t="s">
        <v>99</v>
      </c>
      <c r="D97" s="55" t="n">
        <v>46183</v>
      </c>
      <c r="E97" s="56" t="n">
        <f aca="false">'Juill-aout-sept 2026'!G95</f>
        <v>177387</v>
      </c>
      <c r="F97" s="57" t="n">
        <f aca="false">MIN(ROUNDDOWN(N($E97)*Paramètres!$C$16,0),Paramètres!$D$16)</f>
        <v>35477</v>
      </c>
      <c r="G97" s="57" t="n">
        <f aca="false">MIN(ROUNDDOWN(N($E97)*Paramètres!$C$17,0),Paramètres!$D$17)</f>
        <v>8869</v>
      </c>
      <c r="H97" s="57" t="n">
        <f aca="false">MIN(ROUNDDOWN(N($E97)*Paramètres!$C$18,0),Paramètres!$D$18)</f>
        <v>8869</v>
      </c>
      <c r="I97" s="57" t="n">
        <f aca="false">N($E97)-(F97+G97+H97)</f>
        <v>124172</v>
      </c>
      <c r="J97" s="58" t="n">
        <v>0</v>
      </c>
      <c r="K97" s="59" t="str">
        <f aca="false">IF(I97&lt;Paramètres!$C$11,"Cadre inférieur","Cadre supérieur")</f>
        <v>Cadre inférieur</v>
      </c>
      <c r="L97" s="57" t="n">
        <f aca="false">MIN(F97,MIN(N($E97)*Paramètres!$C$16,Paramètres!$D$16))+MIN(G97,MIN(N($E97)*Paramètres!$C$17,Paramètres!$D$17))+MIN(H97,MIN(N($E97)*Paramètres!$C$18,Paramètres!$D$18))</f>
        <v>53215</v>
      </c>
      <c r="M97" s="57" t="n">
        <f aca="false">MIN(N($E97),Paramètres!$C$7)*Paramètres!$C$6</f>
        <v>9756.285</v>
      </c>
      <c r="N97" s="57" t="n">
        <f aca="false">MIN(M97,I97*Paramètres!$C$8)</f>
        <v>9756.285</v>
      </c>
      <c r="O97" s="57" t="n">
        <f aca="false">I97*IF(K97="Cadre supérieur",Paramètres!$C$10,Paramètres!$C$9)</f>
        <v>31043</v>
      </c>
      <c r="P97" s="57" t="n">
        <f aca="false">MAX(0,ROUNDDOWN(N($E97)-L97-N97-O97,-2))</f>
        <v>83300</v>
      </c>
      <c r="Q97" s="57" t="n">
        <f aca="false">SUMPRODUCT((P97&gt;Paramètres!$B$21:$B$27)*(P97-Paramètres!$B$21:$B$27)*Paramètres!$E$21:$E$27)</f>
        <v>7108.1</v>
      </c>
      <c r="R97" s="57" t="n">
        <f aca="false">Q97*INDEX(Paramètres!$C$31:$C$38,MIN(MAX(INT(N(J97)),0),7)+1)</f>
        <v>0</v>
      </c>
      <c r="S97" s="60" t="n">
        <f aca="false">ROUND(Q97-R97,0)</f>
        <v>7108</v>
      </c>
      <c r="T97" s="57" t="n">
        <f aca="false">ROUND(N($E97)*Paramètres!$C$13,0)</f>
        <v>5322</v>
      </c>
      <c r="U97" s="57" t="n">
        <f aca="false">ROUND(MAX(0,N($E97)-(Q97-R97)-M97)*Paramètres!$C$12,0)</f>
        <v>1605</v>
      </c>
      <c r="V97" s="60" t="n">
        <f aca="false">ROUND(N($E97)-M97-S97-U97,0)</f>
        <v>158918</v>
      </c>
    </row>
    <row r="98" customFormat="false" ht="17.25" hidden="false" customHeight="true" outlineLevel="0" collapsed="false">
      <c r="B98" s="53"/>
      <c r="C98" s="54" t="s">
        <v>100</v>
      </c>
      <c r="D98" s="55"/>
      <c r="E98" s="56" t="n">
        <f aca="false">'Juill-aout-sept 2026'!G96</f>
        <v>231913</v>
      </c>
      <c r="F98" s="57" t="n">
        <f aca="false">MIN(ROUNDDOWN(N($E98)*Paramètres!$C$16,0),Paramètres!$D$16)</f>
        <v>46382</v>
      </c>
      <c r="G98" s="57" t="n">
        <f aca="false">MIN(ROUNDDOWN(N($E98)*Paramètres!$C$17,0),Paramètres!$D$17)</f>
        <v>11595</v>
      </c>
      <c r="H98" s="57" t="n">
        <f aca="false">MIN(ROUNDDOWN(N($E98)*Paramètres!$C$18,0),Paramètres!$D$18)</f>
        <v>11595</v>
      </c>
      <c r="I98" s="57" t="n">
        <f aca="false">N($E98)-(F98+G98+H98)</f>
        <v>162341</v>
      </c>
      <c r="J98" s="58" t="n">
        <v>0</v>
      </c>
      <c r="K98" s="59" t="str">
        <f aca="false">IF(I98&lt;Paramètres!$C$11,"Cadre inférieur","Cadre supérieur")</f>
        <v>Cadre supérieur</v>
      </c>
      <c r="L98" s="57" t="n">
        <f aca="false">MIN(F98,MIN(N($E98)*Paramètres!$C$16,Paramètres!$D$16))+MIN(G98,MIN(N($E98)*Paramètres!$C$17,Paramètres!$D$17))+MIN(H98,MIN(N($E98)*Paramètres!$C$18,Paramètres!$D$18))</f>
        <v>69572</v>
      </c>
      <c r="M98" s="57" t="n">
        <f aca="false">MIN(N($E98),Paramètres!$C$7)*Paramètres!$C$6</f>
        <v>12755.215</v>
      </c>
      <c r="N98" s="57" t="n">
        <f aca="false">MIN(M98,I98*Paramètres!$C$8)</f>
        <v>12755.215</v>
      </c>
      <c r="O98" s="57" t="n">
        <f aca="false">I98*IF(K98="Cadre supérieur",Paramètres!$C$10,Paramètres!$C$9)</f>
        <v>32468.2</v>
      </c>
      <c r="P98" s="57" t="n">
        <f aca="false">MAX(0,ROUNDDOWN(N($E98)-L98-N98-O98,-2))</f>
        <v>117100</v>
      </c>
      <c r="Q98" s="57" t="n">
        <f aca="false">SUMPRODUCT((P98&gt;Paramètres!$B$21:$B$27)*(P98-Paramètres!$B$21:$B$27)*Paramètres!$E$21:$E$27)</f>
        <v>12414.7</v>
      </c>
      <c r="R98" s="57" t="n">
        <f aca="false">Q98*INDEX(Paramètres!$C$31:$C$38,MIN(MAX(INT(N(J98)),0),7)+1)</f>
        <v>0</v>
      </c>
      <c r="S98" s="60" t="n">
        <f aca="false">ROUND(Q98-R98,0)</f>
        <v>12415</v>
      </c>
      <c r="T98" s="57" t="n">
        <f aca="false">ROUND(N($E98)*Paramètres!$C$13,0)</f>
        <v>6957</v>
      </c>
      <c r="U98" s="57" t="n">
        <f aca="false">ROUND(MAX(0,N($E98)-(Q98-R98)-M98)*Paramètres!$C$12,0)</f>
        <v>2067</v>
      </c>
      <c r="V98" s="60" t="n">
        <f aca="false">ROUND(N($E98)-M98-S98-U98,0)</f>
        <v>204676</v>
      </c>
    </row>
    <row r="99" customFormat="false" ht="17.25" hidden="false" customHeight="true" outlineLevel="0" collapsed="false">
      <c r="B99" s="53" t="n">
        <v>85</v>
      </c>
      <c r="C99" s="54" t="s">
        <v>101</v>
      </c>
      <c r="D99" s="55" t="n">
        <v>45778</v>
      </c>
      <c r="E99" s="56" t="n">
        <f aca="false">'Juill-aout-sept 2026'!G97</f>
        <v>0</v>
      </c>
      <c r="F99" s="57" t="n">
        <f aca="false">MIN(ROUNDDOWN(N($E99)*Paramètres!$C$16,0),Paramètres!$D$16)</f>
        <v>0</v>
      </c>
      <c r="G99" s="57" t="n">
        <f aca="false">MIN(ROUNDDOWN(N($E99)*Paramètres!$C$17,0),Paramètres!$D$17)</f>
        <v>0</v>
      </c>
      <c r="H99" s="57" t="n">
        <f aca="false">MIN(ROUNDDOWN(N($E99)*Paramètres!$C$18,0),Paramètres!$D$18)</f>
        <v>0</v>
      </c>
      <c r="I99" s="57" t="n">
        <f aca="false">N($E99)-(F99+G99+H99)</f>
        <v>0</v>
      </c>
      <c r="J99" s="58" t="n">
        <v>0</v>
      </c>
      <c r="K99" s="59" t="str">
        <f aca="false">IF(I99&lt;Paramètres!$C$11,"Cadre inférieur","Cadre supérieur")</f>
        <v>Cadre inférieur</v>
      </c>
      <c r="L99" s="57" t="n">
        <f aca="false">MIN(F99,MIN(N($E99)*Paramètres!$C$16,Paramètres!$D$16))+MIN(G99,MIN(N($E99)*Paramètres!$C$17,Paramètres!$D$17))+MIN(H99,MIN(N($E99)*Paramètres!$C$18,Paramètres!$D$18))</f>
        <v>0</v>
      </c>
      <c r="M99" s="57" t="n">
        <f aca="false">MIN(N($E99),Paramètres!$C$7)*Paramètres!$C$6</f>
        <v>0</v>
      </c>
      <c r="N99" s="57" t="n">
        <f aca="false">MIN(M99,I99*Paramètres!$C$8)</f>
        <v>0</v>
      </c>
      <c r="O99" s="57" t="n">
        <f aca="false">I99*IF(K99="Cadre supérieur",Paramètres!$C$10,Paramètres!$C$9)</f>
        <v>0</v>
      </c>
      <c r="P99" s="57" t="n">
        <f aca="false">MAX(0,ROUNDDOWN(N($E99)-L99-N99-O99,-2))</f>
        <v>0</v>
      </c>
      <c r="Q99" s="57" t="n">
        <f aca="false">SUMPRODUCT((P99&gt;Paramètres!$B$21:$B$27)*(P99-Paramètres!$B$21:$B$27)*Paramètres!$E$21:$E$27)</f>
        <v>0</v>
      </c>
      <c r="R99" s="57" t="n">
        <f aca="false">Q99*INDEX(Paramètres!$C$31:$C$38,MIN(MAX(INT(N(J99)),0),7)+1)</f>
        <v>0</v>
      </c>
      <c r="S99" s="60" t="n">
        <f aca="false">ROUND(Q99-R99,0)</f>
        <v>0</v>
      </c>
      <c r="T99" s="57" t="n">
        <f aca="false">ROUND(N($E99)*Paramètres!$C$13,0)</f>
        <v>0</v>
      </c>
      <c r="U99" s="57" t="n">
        <f aca="false">ROUND(MAX(0,N($E99)-(Q99-R99)-M99)*Paramètres!$C$12,0)</f>
        <v>0</v>
      </c>
      <c r="V99" s="60" t="n">
        <f aca="false">ROUND(N($E99)-M99-S99-U99,0)</f>
        <v>0</v>
      </c>
    </row>
    <row r="100" customFormat="false" ht="21.75" hidden="false" customHeight="true" outlineLevel="0" collapsed="false">
      <c r="B100" s="61" t="s">
        <v>15</v>
      </c>
      <c r="C100" s="61"/>
      <c r="D100" s="61"/>
      <c r="E100" s="62" t="n">
        <f aca="false">SUM(E7:E99)</f>
        <v>17696056</v>
      </c>
      <c r="F100" s="62" t="n">
        <f aca="false">SUM(F7:F99)</f>
        <v>3383000</v>
      </c>
      <c r="G100" s="62" t="n">
        <f aca="false">SUM(G7:G99)</f>
        <v>871427</v>
      </c>
      <c r="H100" s="62" t="n">
        <f aca="false">SUM(H7:H99)</f>
        <v>884768</v>
      </c>
      <c r="I100" s="62" t="n">
        <f aca="false">SUM(I7:I99)</f>
        <v>12556861</v>
      </c>
      <c r="L100" s="62" t="n">
        <f aca="false">SUM(L7:L99)</f>
        <v>5139195</v>
      </c>
      <c r="M100" s="62" t="n">
        <f aca="false">SUM(M7:M99)</f>
        <v>969607.43</v>
      </c>
      <c r="N100" s="62" t="n">
        <f aca="false">SUM(N7:N99)</f>
        <v>969607.43</v>
      </c>
      <c r="O100" s="62" t="n">
        <f aca="false">SUM(O7:O99)</f>
        <v>2925044.7</v>
      </c>
      <c r="P100" s="62" t="n">
        <f aca="false">SUM(P7:P99)</f>
        <v>8657300</v>
      </c>
      <c r="Q100" s="62" t="n">
        <f aca="false">SUM(Q7:Q99)</f>
        <v>905329.7</v>
      </c>
      <c r="R100" s="62" t="n">
        <f aca="false">SUM(R7:R99)</f>
        <v>0</v>
      </c>
      <c r="S100" s="63" t="n">
        <f aca="false">SUM(S7:S99)</f>
        <v>905324</v>
      </c>
      <c r="T100" s="62" t="n">
        <f aca="false">SUM(T7:T99)</f>
        <v>530888</v>
      </c>
      <c r="U100" s="62" t="n">
        <f aca="false">SUM(U7:U99)</f>
        <v>158200</v>
      </c>
      <c r="V100" s="63" t="n">
        <f aca="false">SUM(V7:V99)</f>
        <v>15662931</v>
      </c>
    </row>
    <row r="101" customFormat="false" ht="21.75" hidden="false" customHeight="true" outlineLevel="0" collapsed="false">
      <c r="B101" s="64" t="s">
        <v>125</v>
      </c>
      <c r="C101" s="64"/>
      <c r="D101" s="64"/>
      <c r="E101" s="65" t="n">
        <f aca="false">Août!E101+E100</f>
        <v>57035225</v>
      </c>
      <c r="S101" s="66" t="n">
        <f aca="false">Août!S101+S100</f>
        <v>2988154</v>
      </c>
      <c r="T101" s="65" t="n">
        <f aca="false">Août!T101+T100</f>
        <v>1711061</v>
      </c>
      <c r="U101" s="65" t="n">
        <f aca="false">Août!U101+U100</f>
        <v>509184</v>
      </c>
      <c r="V101" s="66" t="n">
        <f aca="false">Août!V101+V100</f>
        <v>50411989</v>
      </c>
    </row>
    <row r="103" customFormat="false" ht="15" hidden="false" customHeight="false" outlineLevel="0" collapsed="false">
      <c r="C103" s="67" t="s">
        <v>126</v>
      </c>
    </row>
    <row r="104" customFormat="false" ht="15" hidden="false" customHeight="false" outlineLevel="0" collapsed="false">
      <c r="C104" s="68" t="s">
        <v>127</v>
      </c>
    </row>
    <row r="105" customFormat="false" ht="15" hidden="false" customHeight="false" outlineLevel="0" collapsed="false">
      <c r="C105" s="68" t="s">
        <v>128</v>
      </c>
    </row>
    <row r="106" customFormat="false" ht="15" hidden="false" customHeight="false" outlineLevel="0" collapsed="false">
      <c r="C106" s="68" t="s">
        <v>129</v>
      </c>
    </row>
    <row r="107" customFormat="false" ht="15" hidden="false" customHeight="false" outlineLevel="0" collapsed="false">
      <c r="C107" s="68" t="s">
        <v>130</v>
      </c>
    </row>
    <row r="108" customFormat="false" ht="15" hidden="false" customHeight="false" outlineLevel="0" collapsed="false">
      <c r="C108" s="68" t="s">
        <v>131</v>
      </c>
    </row>
  </sheetData>
  <mergeCells count="9">
    <mergeCell ref="B4:E4"/>
    <mergeCell ref="B5:C5"/>
    <mergeCell ref="D5:E5"/>
    <mergeCell ref="F5:I5"/>
    <mergeCell ref="J5:K5"/>
    <mergeCell ref="L5:S5"/>
    <mergeCell ref="T5:V5"/>
    <mergeCell ref="B100:D100"/>
    <mergeCell ref="B101:D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12" min="4" style="0" width="12"/>
    <col collapsed="false" customWidth="true" hidden="false" outlineLevel="0" max="13" min="13" style="0" width="14"/>
  </cols>
  <sheetData>
    <row r="2" customFormat="false" ht="24" hidden="false" customHeight="true" outlineLevel="0" collapsed="false">
      <c r="B2" s="70" t="s">
        <v>149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customFormat="false" ht="15" hidden="false" customHeight="false" outlineLevel="0" collapsed="false">
      <c r="B3" s="68" t="s">
        <v>150</v>
      </c>
    </row>
    <row r="5" customFormat="false" ht="27" hidden="false" customHeight="true" outlineLevel="0" collapsed="false">
      <c r="B5" s="52" t="s">
        <v>3</v>
      </c>
      <c r="C5" s="52" t="s">
        <v>151</v>
      </c>
      <c r="D5" s="52" t="s">
        <v>152</v>
      </c>
      <c r="E5" s="52" t="s">
        <v>153</v>
      </c>
      <c r="F5" s="52" t="s">
        <v>154</v>
      </c>
      <c r="G5" s="52" t="s">
        <v>155</v>
      </c>
      <c r="H5" s="52" t="s">
        <v>156</v>
      </c>
      <c r="I5" s="52" t="s">
        <v>157</v>
      </c>
      <c r="J5" s="52" t="s">
        <v>158</v>
      </c>
      <c r="K5" s="52" t="s">
        <v>159</v>
      </c>
      <c r="L5" s="52" t="s">
        <v>160</v>
      </c>
      <c r="M5" s="52" t="s">
        <v>161</v>
      </c>
    </row>
    <row r="6" customFormat="false" ht="15" hidden="false" customHeight="false" outlineLevel="0" collapsed="false">
      <c r="B6" s="53" t="n">
        <v>1</v>
      </c>
      <c r="C6" s="54" t="s">
        <v>17</v>
      </c>
      <c r="D6" s="57" t="n">
        <v>0</v>
      </c>
      <c r="E6" s="57" t="n">
        <v>0</v>
      </c>
      <c r="F6" s="57" t="n">
        <v>0</v>
      </c>
      <c r="G6" s="57" t="n">
        <v>0</v>
      </c>
      <c r="H6" s="57" t="n">
        <v>0</v>
      </c>
      <c r="I6" s="57" t="n">
        <v>0</v>
      </c>
      <c r="J6" s="56" t="n">
        <f aca="false">Juillet!S7</f>
        <v>0</v>
      </c>
      <c r="K6" s="56" t="n">
        <f aca="false">Août!S7</f>
        <v>2093</v>
      </c>
      <c r="L6" s="56" t="n">
        <f aca="false">Septembre!S7</f>
        <v>920</v>
      </c>
      <c r="M6" s="60" t="n">
        <f aca="false">SUM(D6:L6)</f>
        <v>3013</v>
      </c>
    </row>
    <row r="7" customFormat="false" ht="15" hidden="false" customHeight="false" outlineLevel="0" collapsed="false">
      <c r="B7" s="53" t="n">
        <v>2</v>
      </c>
      <c r="C7" s="54" t="s">
        <v>18</v>
      </c>
      <c r="D7" s="57" t="n">
        <v>0</v>
      </c>
      <c r="E7" s="57" t="n">
        <v>0</v>
      </c>
      <c r="F7" s="57" t="n">
        <v>0</v>
      </c>
      <c r="G7" s="57" t="n">
        <v>0</v>
      </c>
      <c r="H7" s="57" t="n">
        <v>0</v>
      </c>
      <c r="I7" s="57" t="n">
        <v>0</v>
      </c>
      <c r="J7" s="56" t="n">
        <f aca="false">Juillet!S8</f>
        <v>0</v>
      </c>
      <c r="K7" s="56" t="n">
        <f aca="false">Août!S8</f>
        <v>4352</v>
      </c>
      <c r="L7" s="56" t="n">
        <f aca="false">Septembre!S8</f>
        <v>4352</v>
      </c>
      <c r="M7" s="60" t="n">
        <f aca="false">SUM(D7:L7)</f>
        <v>8704</v>
      </c>
    </row>
    <row r="8" customFormat="false" ht="15" hidden="false" customHeight="false" outlineLevel="0" collapsed="false">
      <c r="B8" s="53" t="n">
        <v>3</v>
      </c>
      <c r="C8" s="54" t="s">
        <v>19</v>
      </c>
      <c r="D8" s="57" t="n">
        <v>0</v>
      </c>
      <c r="E8" s="57" t="n">
        <v>0</v>
      </c>
      <c r="F8" s="57" t="n">
        <v>0</v>
      </c>
      <c r="G8" s="57" t="n">
        <v>0</v>
      </c>
      <c r="H8" s="57" t="n">
        <v>0</v>
      </c>
      <c r="I8" s="57" t="n">
        <v>0</v>
      </c>
      <c r="J8" s="56" t="n">
        <f aca="false">Juillet!S9</f>
        <v>7108</v>
      </c>
      <c r="K8" s="56" t="n">
        <f aca="false">Août!S9</f>
        <v>7108</v>
      </c>
      <c r="L8" s="56" t="n">
        <f aca="false">Septembre!S9</f>
        <v>7108</v>
      </c>
      <c r="M8" s="60" t="n">
        <f aca="false">SUM(D8:L8)</f>
        <v>21324</v>
      </c>
    </row>
    <row r="9" customFormat="false" ht="15" hidden="false" customHeight="false" outlineLevel="0" collapsed="false">
      <c r="B9" s="53" t="n">
        <v>4</v>
      </c>
      <c r="C9" s="54" t="s">
        <v>12</v>
      </c>
      <c r="D9" s="56" t="n">
        <f aca="false">Janvier!S13</f>
        <v>17360</v>
      </c>
      <c r="E9" s="56" t="n">
        <f aca="false">Février!S13</f>
        <v>17360</v>
      </c>
      <c r="F9" s="56" t="n">
        <f aca="false">Mars!S13</f>
        <v>17360</v>
      </c>
      <c r="G9" s="56" t="n">
        <f aca="false">Avril!S13</f>
        <v>17360</v>
      </c>
      <c r="H9" s="56" t="n">
        <f aca="false">Mai!S13</f>
        <v>23133</v>
      </c>
      <c r="I9" s="56" t="n">
        <f aca="false">Juin!S13</f>
        <v>23133</v>
      </c>
      <c r="J9" s="56" t="n">
        <f aca="false">Juillet!S10</f>
        <v>23133</v>
      </c>
      <c r="K9" s="56" t="n">
        <f aca="false">Août!S10</f>
        <v>23133</v>
      </c>
      <c r="L9" s="56" t="n">
        <f aca="false">Septembre!S10</f>
        <v>23133</v>
      </c>
      <c r="M9" s="60" t="n">
        <f aca="false">SUM(D9:L9)</f>
        <v>185105</v>
      </c>
    </row>
    <row r="10" customFormat="false" ht="15" hidden="false" customHeight="false" outlineLevel="0" collapsed="false">
      <c r="B10" s="53" t="n">
        <v>5</v>
      </c>
      <c r="C10" s="54" t="s">
        <v>20</v>
      </c>
      <c r="D10" s="57" t="n">
        <v>0</v>
      </c>
      <c r="E10" s="57" t="n">
        <v>0</v>
      </c>
      <c r="F10" s="57" t="n">
        <v>0</v>
      </c>
      <c r="G10" s="57" t="n">
        <v>0</v>
      </c>
      <c r="H10" s="57" t="n">
        <v>0</v>
      </c>
      <c r="I10" s="57" t="n">
        <v>0</v>
      </c>
      <c r="J10" s="56" t="n">
        <f aca="false">Juillet!S11</f>
        <v>6270</v>
      </c>
      <c r="K10" s="56" t="n">
        <f aca="false">Août!S11</f>
        <v>6270</v>
      </c>
      <c r="L10" s="56" t="n">
        <f aca="false">Septembre!S11</f>
        <v>6270</v>
      </c>
      <c r="M10" s="60" t="n">
        <f aca="false">SUM(D10:L10)</f>
        <v>18810</v>
      </c>
    </row>
    <row r="11" customFormat="false" ht="15" hidden="false" customHeight="false" outlineLevel="0" collapsed="false">
      <c r="B11" s="53" t="n">
        <v>6</v>
      </c>
      <c r="C11" s="54" t="s">
        <v>21</v>
      </c>
      <c r="D11" s="57" t="n">
        <v>0</v>
      </c>
      <c r="E11" s="57" t="n">
        <v>0</v>
      </c>
      <c r="F11" s="57" t="n">
        <v>0</v>
      </c>
      <c r="G11" s="57" t="n">
        <v>0</v>
      </c>
      <c r="H11" s="57" t="n">
        <v>0</v>
      </c>
      <c r="I11" s="57" t="n">
        <v>0</v>
      </c>
      <c r="J11" s="56" t="n">
        <f aca="false">Juillet!S12</f>
        <v>0</v>
      </c>
      <c r="K11" s="56" t="n">
        <f aca="false">Août!S12</f>
        <v>7108</v>
      </c>
      <c r="L11" s="56" t="n">
        <f aca="false">Septembre!S12</f>
        <v>7108</v>
      </c>
      <c r="M11" s="60" t="n">
        <f aca="false">SUM(D11:L11)</f>
        <v>14216</v>
      </c>
    </row>
    <row r="12" customFormat="false" ht="15" hidden="false" customHeight="false" outlineLevel="0" collapsed="false">
      <c r="B12" s="53" t="n">
        <v>7</v>
      </c>
      <c r="C12" s="54" t="s">
        <v>22</v>
      </c>
      <c r="D12" s="57" t="n">
        <v>0</v>
      </c>
      <c r="E12" s="57" t="n">
        <v>0</v>
      </c>
      <c r="F12" s="57" t="n">
        <v>0</v>
      </c>
      <c r="G12" s="57" t="n">
        <v>0</v>
      </c>
      <c r="H12" s="57" t="n">
        <v>0</v>
      </c>
      <c r="I12" s="57" t="n">
        <v>0</v>
      </c>
      <c r="J12" s="56" t="n">
        <f aca="false">Juillet!S13</f>
        <v>8443</v>
      </c>
      <c r="K12" s="56" t="n">
        <f aca="false">Août!S13</f>
        <v>8443</v>
      </c>
      <c r="L12" s="56" t="n">
        <f aca="false">Septembre!S13</f>
        <v>8443</v>
      </c>
      <c r="M12" s="60" t="n">
        <f aca="false">SUM(D12:L12)</f>
        <v>25329</v>
      </c>
    </row>
    <row r="13" customFormat="false" ht="15" hidden="false" customHeight="false" outlineLevel="0" collapsed="false">
      <c r="B13" s="53" t="n">
        <v>8</v>
      </c>
      <c r="C13" s="54" t="s">
        <v>23</v>
      </c>
      <c r="D13" s="57" t="n">
        <v>0</v>
      </c>
      <c r="E13" s="57" t="n">
        <v>0</v>
      </c>
      <c r="F13" s="57" t="n">
        <v>0</v>
      </c>
      <c r="G13" s="57" t="n">
        <v>0</v>
      </c>
      <c r="H13" s="57" t="n">
        <v>0</v>
      </c>
      <c r="I13" s="57" t="n">
        <v>0</v>
      </c>
      <c r="J13" s="56" t="n">
        <f aca="false">Juillet!S14</f>
        <v>9777</v>
      </c>
      <c r="K13" s="56" t="n">
        <f aca="false">Août!S14</f>
        <v>9777</v>
      </c>
      <c r="L13" s="56" t="n">
        <f aca="false">Septembre!S14</f>
        <v>9777</v>
      </c>
      <c r="M13" s="60" t="n">
        <f aca="false">SUM(D13:L13)</f>
        <v>29331</v>
      </c>
    </row>
    <row r="14" customFormat="false" ht="15" hidden="false" customHeight="false" outlineLevel="0" collapsed="false">
      <c r="B14" s="53" t="n">
        <v>9</v>
      </c>
      <c r="C14" s="54" t="s">
        <v>24</v>
      </c>
      <c r="D14" s="57" t="n">
        <v>0</v>
      </c>
      <c r="E14" s="57" t="n">
        <v>0</v>
      </c>
      <c r="F14" s="57" t="n">
        <v>0</v>
      </c>
      <c r="G14" s="57" t="n">
        <v>0</v>
      </c>
      <c r="H14" s="57" t="n">
        <v>0</v>
      </c>
      <c r="I14" s="57" t="n">
        <v>0</v>
      </c>
      <c r="J14" s="56" t="n">
        <f aca="false">Juillet!S15</f>
        <v>0</v>
      </c>
      <c r="K14" s="56" t="n">
        <f aca="false">Août!S15</f>
        <v>6270</v>
      </c>
      <c r="L14" s="56" t="n">
        <f aca="false">Septembre!S15</f>
        <v>11928</v>
      </c>
      <c r="M14" s="60" t="n">
        <f aca="false">SUM(D14:L14)</f>
        <v>18198</v>
      </c>
    </row>
    <row r="15" customFormat="false" ht="15" hidden="false" customHeight="false" outlineLevel="0" collapsed="false">
      <c r="B15" s="53" t="n">
        <v>10</v>
      </c>
      <c r="C15" s="54" t="s">
        <v>25</v>
      </c>
      <c r="D15" s="57" t="n">
        <v>0</v>
      </c>
      <c r="E15" s="57" t="n">
        <v>0</v>
      </c>
      <c r="F15" s="57" t="n">
        <v>0</v>
      </c>
      <c r="G15" s="57" t="n">
        <v>0</v>
      </c>
      <c r="H15" s="57" t="n">
        <v>0</v>
      </c>
      <c r="I15" s="57" t="n">
        <v>0</v>
      </c>
      <c r="J15" s="56" t="n">
        <f aca="false">Juillet!S16</f>
        <v>9777</v>
      </c>
      <c r="K15" s="56" t="n">
        <f aca="false">Août!S16</f>
        <v>9777</v>
      </c>
      <c r="L15" s="56" t="n">
        <f aca="false">Septembre!S16</f>
        <v>9777</v>
      </c>
      <c r="M15" s="60" t="n">
        <f aca="false">SUM(D15:L15)</f>
        <v>29331</v>
      </c>
    </row>
    <row r="16" customFormat="false" ht="15" hidden="false" customHeight="false" outlineLevel="0" collapsed="false">
      <c r="B16" s="53" t="n">
        <v>11</v>
      </c>
      <c r="C16" s="54" t="s">
        <v>26</v>
      </c>
      <c r="D16" s="57" t="n">
        <v>0</v>
      </c>
      <c r="E16" s="57" t="n">
        <v>0</v>
      </c>
      <c r="F16" s="57" t="n">
        <v>0</v>
      </c>
      <c r="G16" s="57" t="n">
        <v>0</v>
      </c>
      <c r="H16" s="57" t="n">
        <v>0</v>
      </c>
      <c r="I16" s="57" t="n">
        <v>0</v>
      </c>
      <c r="J16" s="56" t="n">
        <f aca="false">Juillet!S17</f>
        <v>9777</v>
      </c>
      <c r="K16" s="56" t="n">
        <f aca="false">Août!S17</f>
        <v>9777</v>
      </c>
      <c r="L16" s="56" t="n">
        <f aca="false">Septembre!S17</f>
        <v>9777</v>
      </c>
      <c r="M16" s="60" t="n">
        <f aca="false">SUM(D16:L16)</f>
        <v>29331</v>
      </c>
    </row>
    <row r="17" customFormat="false" ht="15" hidden="false" customHeight="false" outlineLevel="0" collapsed="false">
      <c r="B17" s="53" t="n">
        <v>12</v>
      </c>
      <c r="C17" s="54" t="s">
        <v>27</v>
      </c>
      <c r="D17" s="57" t="n">
        <v>0</v>
      </c>
      <c r="E17" s="57" t="n">
        <v>0</v>
      </c>
      <c r="F17" s="57" t="n">
        <v>0</v>
      </c>
      <c r="G17" s="57" t="n">
        <v>0</v>
      </c>
      <c r="H17" s="57" t="n">
        <v>0</v>
      </c>
      <c r="I17" s="57" t="n">
        <v>0</v>
      </c>
      <c r="J17" s="56" t="n">
        <f aca="false">Juillet!S18</f>
        <v>920</v>
      </c>
      <c r="K17" s="56" t="n">
        <f aca="false">Août!S18</f>
        <v>7108</v>
      </c>
      <c r="L17" s="56" t="n">
        <f aca="false">Septembre!S18</f>
        <v>7108</v>
      </c>
      <c r="M17" s="60" t="n">
        <f aca="false">SUM(D17:L17)</f>
        <v>15136</v>
      </c>
    </row>
    <row r="18" customFormat="false" ht="15" hidden="false" customHeight="false" outlineLevel="0" collapsed="false">
      <c r="B18" s="53"/>
      <c r="C18" s="54" t="s">
        <v>28</v>
      </c>
      <c r="D18" s="57" t="n">
        <v>0</v>
      </c>
      <c r="E18" s="57" t="n">
        <v>0</v>
      </c>
      <c r="F18" s="57" t="n">
        <v>0</v>
      </c>
      <c r="G18" s="57" t="n">
        <v>0</v>
      </c>
      <c r="H18" s="57" t="n">
        <v>0</v>
      </c>
      <c r="I18" s="57" t="n">
        <v>0</v>
      </c>
      <c r="J18" s="56" t="n">
        <f aca="false">Juillet!S19</f>
        <v>0</v>
      </c>
      <c r="K18" s="56" t="n">
        <f aca="false">Août!S19</f>
        <v>0</v>
      </c>
      <c r="L18" s="56" t="n">
        <f aca="false">Septembre!S19</f>
        <v>0</v>
      </c>
      <c r="M18" s="60" t="n">
        <f aca="false">SUM(D18:L18)</f>
        <v>0</v>
      </c>
    </row>
    <row r="19" customFormat="false" ht="15" hidden="false" customHeight="false" outlineLevel="0" collapsed="false">
      <c r="B19" s="53" t="n">
        <v>13</v>
      </c>
      <c r="C19" s="54" t="s">
        <v>29</v>
      </c>
      <c r="D19" s="57" t="n">
        <v>0</v>
      </c>
      <c r="E19" s="57" t="n">
        <v>0</v>
      </c>
      <c r="F19" s="57" t="n">
        <v>0</v>
      </c>
      <c r="G19" s="57" t="n">
        <v>0</v>
      </c>
      <c r="H19" s="57" t="n">
        <v>0</v>
      </c>
      <c r="I19" s="57" t="n">
        <v>0</v>
      </c>
      <c r="J19" s="56" t="n">
        <f aca="false">Juillet!S20</f>
        <v>7108</v>
      </c>
      <c r="K19" s="56" t="n">
        <f aca="false">Août!S20</f>
        <v>7108</v>
      </c>
      <c r="L19" s="56" t="n">
        <f aca="false">Septembre!S20</f>
        <v>7108</v>
      </c>
      <c r="M19" s="60" t="n">
        <f aca="false">SUM(D19:L19)</f>
        <v>21324</v>
      </c>
    </row>
    <row r="20" customFormat="false" ht="15" hidden="false" customHeight="false" outlineLevel="0" collapsed="false">
      <c r="B20" s="53" t="n">
        <v>14</v>
      </c>
      <c r="C20" s="54" t="s">
        <v>30</v>
      </c>
      <c r="D20" s="57" t="n">
        <v>0</v>
      </c>
      <c r="E20" s="57" t="n">
        <v>0</v>
      </c>
      <c r="F20" s="57" t="n">
        <v>0</v>
      </c>
      <c r="G20" s="57" t="n">
        <v>0</v>
      </c>
      <c r="H20" s="57" t="n">
        <v>0</v>
      </c>
      <c r="I20" s="57" t="n">
        <v>0</v>
      </c>
      <c r="J20" s="56" t="n">
        <f aca="false">Juillet!S21</f>
        <v>0</v>
      </c>
      <c r="K20" s="56" t="n">
        <f aca="false">Août!S21</f>
        <v>7108</v>
      </c>
      <c r="L20" s="56" t="n">
        <f aca="false">Septembre!S21</f>
        <v>7108</v>
      </c>
      <c r="M20" s="60" t="n">
        <f aca="false">SUM(D20:L20)</f>
        <v>14216</v>
      </c>
    </row>
    <row r="21" customFormat="false" ht="15" hidden="false" customHeight="false" outlineLevel="0" collapsed="false">
      <c r="B21" s="53" t="n">
        <v>15</v>
      </c>
      <c r="C21" s="54" t="s">
        <v>31</v>
      </c>
      <c r="D21" s="57" t="n">
        <v>0</v>
      </c>
      <c r="E21" s="57" t="n">
        <v>0</v>
      </c>
      <c r="F21" s="57" t="n">
        <v>0</v>
      </c>
      <c r="G21" s="57" t="n">
        <v>0</v>
      </c>
      <c r="H21" s="57" t="n">
        <v>0</v>
      </c>
      <c r="I21" s="57" t="n">
        <v>0</v>
      </c>
      <c r="J21" s="56" t="n">
        <f aca="false">Juillet!S22</f>
        <v>4352</v>
      </c>
      <c r="K21" s="56" t="n">
        <f aca="false">Août!S22</f>
        <v>4352</v>
      </c>
      <c r="L21" s="56" t="n">
        <f aca="false">Septembre!S22</f>
        <v>4352</v>
      </c>
      <c r="M21" s="60" t="n">
        <f aca="false">SUM(D21:L21)</f>
        <v>13056</v>
      </c>
    </row>
    <row r="22" customFormat="false" ht="15" hidden="false" customHeight="false" outlineLevel="0" collapsed="false">
      <c r="B22" s="53" t="n">
        <v>16</v>
      </c>
      <c r="C22" s="54" t="s">
        <v>32</v>
      </c>
      <c r="D22" s="57" t="n">
        <v>0</v>
      </c>
      <c r="E22" s="57" t="n">
        <v>0</v>
      </c>
      <c r="F22" s="57" t="n">
        <v>0</v>
      </c>
      <c r="G22" s="57" t="n">
        <v>0</v>
      </c>
      <c r="H22" s="57" t="n">
        <v>0</v>
      </c>
      <c r="I22" s="57" t="n">
        <v>0</v>
      </c>
      <c r="J22" s="56" t="n">
        <f aca="false">Juillet!S23</f>
        <v>4352</v>
      </c>
      <c r="K22" s="56" t="n">
        <f aca="false">Août!S23</f>
        <v>4352</v>
      </c>
      <c r="L22" s="56" t="n">
        <f aca="false">Septembre!S23</f>
        <v>4352</v>
      </c>
      <c r="M22" s="60" t="n">
        <f aca="false">SUM(D22:L22)</f>
        <v>13056</v>
      </c>
    </row>
    <row r="23" customFormat="false" ht="15" hidden="false" customHeight="false" outlineLevel="0" collapsed="false">
      <c r="B23" s="53" t="n">
        <v>17</v>
      </c>
      <c r="C23" s="54" t="s">
        <v>33</v>
      </c>
      <c r="D23" s="57" t="n">
        <v>0</v>
      </c>
      <c r="E23" s="57" t="n">
        <v>0</v>
      </c>
      <c r="F23" s="57" t="n">
        <v>0</v>
      </c>
      <c r="G23" s="57" t="n">
        <v>0</v>
      </c>
      <c r="H23" s="57" t="n">
        <v>0</v>
      </c>
      <c r="I23" s="57" t="n">
        <v>0</v>
      </c>
      <c r="J23" s="56" t="n">
        <f aca="false">Juillet!S24</f>
        <v>0</v>
      </c>
      <c r="K23" s="56" t="n">
        <f aca="false">Août!S24</f>
        <v>7108</v>
      </c>
      <c r="L23" s="56" t="n">
        <f aca="false">Septembre!S24</f>
        <v>7108</v>
      </c>
      <c r="M23" s="60" t="n">
        <f aca="false">SUM(D23:L23)</f>
        <v>14216</v>
      </c>
    </row>
    <row r="24" customFormat="false" ht="15" hidden="false" customHeight="false" outlineLevel="0" collapsed="false">
      <c r="B24" s="53" t="n">
        <v>18</v>
      </c>
      <c r="C24" s="54" t="s">
        <v>34</v>
      </c>
      <c r="D24" s="57" t="n">
        <v>0</v>
      </c>
      <c r="E24" s="57" t="n">
        <v>0</v>
      </c>
      <c r="F24" s="57" t="n">
        <v>0</v>
      </c>
      <c r="G24" s="57" t="n">
        <v>0</v>
      </c>
      <c r="H24" s="57" t="n">
        <v>0</v>
      </c>
      <c r="I24" s="57" t="n">
        <v>0</v>
      </c>
      <c r="J24" s="56" t="n">
        <f aca="false">Juillet!S25</f>
        <v>0</v>
      </c>
      <c r="K24" s="56" t="n">
        <f aca="false">Août!S25</f>
        <v>0</v>
      </c>
      <c r="L24" s="56" t="n">
        <f aca="false">Septembre!S25</f>
        <v>7108</v>
      </c>
      <c r="M24" s="60" t="n">
        <f aca="false">SUM(D24:L24)</f>
        <v>7108</v>
      </c>
    </row>
    <row r="25" customFormat="false" ht="15" hidden="false" customHeight="false" outlineLevel="0" collapsed="false">
      <c r="B25" s="53" t="n">
        <v>19</v>
      </c>
      <c r="C25" s="54" t="s">
        <v>35</v>
      </c>
      <c r="D25" s="57" t="n">
        <v>0</v>
      </c>
      <c r="E25" s="57" t="n">
        <v>0</v>
      </c>
      <c r="F25" s="57" t="n">
        <v>0</v>
      </c>
      <c r="G25" s="57" t="n">
        <v>0</v>
      </c>
      <c r="H25" s="57" t="n">
        <v>0</v>
      </c>
      <c r="I25" s="57" t="n">
        <v>0</v>
      </c>
      <c r="J25" s="56" t="n">
        <f aca="false">Juillet!S26</f>
        <v>4352</v>
      </c>
      <c r="K25" s="56" t="n">
        <f aca="false">Août!S26</f>
        <v>11928</v>
      </c>
      <c r="L25" s="56" t="n">
        <f aca="false">Septembre!S26</f>
        <v>11928</v>
      </c>
      <c r="M25" s="60" t="n">
        <f aca="false">SUM(D25:L25)</f>
        <v>28208</v>
      </c>
    </row>
    <row r="26" customFormat="false" ht="15" hidden="false" customHeight="false" outlineLevel="0" collapsed="false">
      <c r="B26" s="53" t="n">
        <v>20</v>
      </c>
      <c r="C26" s="54" t="s">
        <v>10</v>
      </c>
      <c r="D26" s="56" t="n">
        <f aca="false">Janvier!S11</f>
        <v>0</v>
      </c>
      <c r="E26" s="56" t="n">
        <f aca="false">Février!S11</f>
        <v>0</v>
      </c>
      <c r="F26" s="56" t="n">
        <f aca="false">Mars!S11</f>
        <v>0</v>
      </c>
      <c r="G26" s="56" t="n">
        <f aca="false">Avril!S11</f>
        <v>7108</v>
      </c>
      <c r="H26" s="56" t="n">
        <f aca="false">Mai!S11</f>
        <v>7108</v>
      </c>
      <c r="I26" s="56" t="n">
        <f aca="false">Juin!S11</f>
        <v>7108</v>
      </c>
      <c r="J26" s="56" t="n">
        <f aca="false">Juillet!S27</f>
        <v>7108</v>
      </c>
      <c r="K26" s="56" t="n">
        <f aca="false">Août!S27</f>
        <v>7108</v>
      </c>
      <c r="L26" s="56" t="n">
        <f aca="false">Septembre!S27</f>
        <v>7108</v>
      </c>
      <c r="M26" s="60" t="n">
        <f aca="false">SUM(D26:L26)</f>
        <v>42648</v>
      </c>
    </row>
    <row r="27" customFormat="false" ht="15" hidden="false" customHeight="false" outlineLevel="0" collapsed="false">
      <c r="B27" s="53" t="n">
        <v>21</v>
      </c>
      <c r="C27" s="54" t="s">
        <v>36</v>
      </c>
      <c r="D27" s="57" t="n">
        <v>0</v>
      </c>
      <c r="E27" s="57" t="n">
        <v>0</v>
      </c>
      <c r="F27" s="57" t="n">
        <v>0</v>
      </c>
      <c r="G27" s="57" t="n">
        <v>0</v>
      </c>
      <c r="H27" s="57" t="n">
        <v>0</v>
      </c>
      <c r="I27" s="57" t="n">
        <v>0</v>
      </c>
      <c r="J27" s="56" t="n">
        <f aca="false">Juillet!S28</f>
        <v>0</v>
      </c>
      <c r="K27" s="56" t="n">
        <f aca="false">Août!S28</f>
        <v>0</v>
      </c>
      <c r="L27" s="56" t="n">
        <f aca="false">Septembre!S28</f>
        <v>1004</v>
      </c>
      <c r="M27" s="60" t="n">
        <f aca="false">SUM(D27:L27)</f>
        <v>1004</v>
      </c>
    </row>
    <row r="28" customFormat="false" ht="15" hidden="false" customHeight="false" outlineLevel="0" collapsed="false">
      <c r="B28" s="53" t="n">
        <v>22</v>
      </c>
      <c r="C28" s="54" t="s">
        <v>37</v>
      </c>
      <c r="D28" s="57" t="n">
        <v>0</v>
      </c>
      <c r="E28" s="57" t="n">
        <v>0</v>
      </c>
      <c r="F28" s="57" t="n">
        <v>0</v>
      </c>
      <c r="G28" s="57" t="n">
        <v>0</v>
      </c>
      <c r="H28" s="57" t="n">
        <v>0</v>
      </c>
      <c r="I28" s="57" t="n">
        <v>0</v>
      </c>
      <c r="J28" s="56" t="n">
        <f aca="false">Juillet!S29</f>
        <v>12415</v>
      </c>
      <c r="K28" s="56" t="n">
        <f aca="false">Août!S29</f>
        <v>12415</v>
      </c>
      <c r="L28" s="56" t="n">
        <f aca="false">Septembre!S29</f>
        <v>9777</v>
      </c>
      <c r="M28" s="60" t="n">
        <f aca="false">SUM(D28:L28)</f>
        <v>34607</v>
      </c>
    </row>
    <row r="29" customFormat="false" ht="15" hidden="false" customHeight="false" outlineLevel="0" collapsed="false">
      <c r="B29" s="53" t="n">
        <v>23</v>
      </c>
      <c r="C29" s="54" t="s">
        <v>38</v>
      </c>
      <c r="D29" s="57" t="n">
        <v>0</v>
      </c>
      <c r="E29" s="57" t="n">
        <v>0</v>
      </c>
      <c r="F29" s="57" t="n">
        <v>0</v>
      </c>
      <c r="G29" s="57" t="n">
        <v>0</v>
      </c>
      <c r="H29" s="57" t="n">
        <v>0</v>
      </c>
      <c r="I29" s="57" t="n">
        <v>0</v>
      </c>
      <c r="J29" s="56" t="n">
        <f aca="false">Juillet!S30</f>
        <v>0</v>
      </c>
      <c r="K29" s="56" t="n">
        <f aca="false">Août!S30</f>
        <v>7108</v>
      </c>
      <c r="L29" s="56" t="n">
        <f aca="false">Septembre!S30</f>
        <v>7108</v>
      </c>
      <c r="M29" s="60" t="n">
        <f aca="false">SUM(D29:L29)</f>
        <v>14216</v>
      </c>
    </row>
    <row r="30" customFormat="false" ht="15" hidden="false" customHeight="false" outlineLevel="0" collapsed="false">
      <c r="B30" s="53" t="n">
        <v>24</v>
      </c>
      <c r="C30" s="54" t="s">
        <v>40</v>
      </c>
      <c r="D30" s="57" t="n">
        <v>0</v>
      </c>
      <c r="E30" s="57" t="n">
        <v>0</v>
      </c>
      <c r="F30" s="57" t="n">
        <v>0</v>
      </c>
      <c r="G30" s="57" t="n">
        <v>0</v>
      </c>
      <c r="H30" s="57" t="n">
        <v>0</v>
      </c>
      <c r="I30" s="57" t="n">
        <v>0</v>
      </c>
      <c r="J30" s="56" t="n">
        <f aca="false">Juillet!S31</f>
        <v>6270</v>
      </c>
      <c r="K30" s="56" t="n">
        <f aca="false">Août!S31</f>
        <v>6270</v>
      </c>
      <c r="L30" s="56" t="n">
        <f aca="false">Septembre!S31</f>
        <v>6270</v>
      </c>
      <c r="M30" s="60" t="n">
        <f aca="false">SUM(D30:L30)</f>
        <v>18810</v>
      </c>
    </row>
    <row r="31" customFormat="false" ht="15" hidden="false" customHeight="false" outlineLevel="0" collapsed="false">
      <c r="B31" s="53" t="n">
        <v>25</v>
      </c>
      <c r="C31" s="54" t="s">
        <v>41</v>
      </c>
      <c r="D31" s="57" t="n">
        <v>0</v>
      </c>
      <c r="E31" s="57" t="n">
        <v>0</v>
      </c>
      <c r="F31" s="57" t="n">
        <v>0</v>
      </c>
      <c r="G31" s="57" t="n">
        <v>0</v>
      </c>
      <c r="H31" s="57" t="n">
        <v>0</v>
      </c>
      <c r="I31" s="57" t="n">
        <v>0</v>
      </c>
      <c r="J31" s="56" t="n">
        <f aca="false">Juillet!S32</f>
        <v>920</v>
      </c>
      <c r="K31" s="56" t="n">
        <f aca="false">Août!S32</f>
        <v>7108</v>
      </c>
      <c r="L31" s="56" t="n">
        <f aca="false">Septembre!S32</f>
        <v>7108</v>
      </c>
      <c r="M31" s="60" t="n">
        <f aca="false">SUM(D31:L31)</f>
        <v>15136</v>
      </c>
    </row>
    <row r="32" customFormat="false" ht="15" hidden="false" customHeight="false" outlineLevel="0" collapsed="false">
      <c r="B32" s="53"/>
      <c r="C32" s="54" t="s">
        <v>13</v>
      </c>
      <c r="D32" s="56" t="n">
        <f aca="false">Janvier!S14</f>
        <v>17360</v>
      </c>
      <c r="E32" s="56" t="n">
        <f aca="false">Février!S14</f>
        <v>17360</v>
      </c>
      <c r="F32" s="56" t="n">
        <f aca="false">Mars!S14</f>
        <v>17360</v>
      </c>
      <c r="G32" s="56" t="n">
        <f aca="false">Avril!S14</f>
        <v>17360</v>
      </c>
      <c r="H32" s="56" t="n">
        <f aca="false">Mai!S14</f>
        <v>23133</v>
      </c>
      <c r="I32" s="56" t="n">
        <f aca="false">Juin!S14</f>
        <v>23133</v>
      </c>
      <c r="J32" s="56" t="n">
        <f aca="false">Juillet!S33</f>
        <v>23133</v>
      </c>
      <c r="K32" s="56" t="n">
        <f aca="false">Août!S33</f>
        <v>23133</v>
      </c>
      <c r="L32" s="56" t="n">
        <f aca="false">Septembre!S33</f>
        <v>23133</v>
      </c>
      <c r="M32" s="60" t="n">
        <f aca="false">SUM(D32:L32)</f>
        <v>185105</v>
      </c>
    </row>
    <row r="33" customFormat="false" ht="15" hidden="false" customHeight="false" outlineLevel="0" collapsed="false">
      <c r="B33" s="53" t="n">
        <v>26</v>
      </c>
      <c r="C33" s="54" t="s">
        <v>42</v>
      </c>
      <c r="D33" s="57" t="n">
        <v>0</v>
      </c>
      <c r="E33" s="57" t="n">
        <v>0</v>
      </c>
      <c r="F33" s="57" t="n">
        <v>0</v>
      </c>
      <c r="G33" s="57" t="n">
        <v>0</v>
      </c>
      <c r="H33" s="57" t="n">
        <v>0</v>
      </c>
      <c r="I33" s="57" t="n">
        <v>0</v>
      </c>
      <c r="J33" s="56" t="n">
        <f aca="false">Juillet!S34</f>
        <v>0</v>
      </c>
      <c r="K33" s="56" t="n">
        <f aca="false">Août!S34</f>
        <v>6270</v>
      </c>
      <c r="L33" s="56" t="n">
        <f aca="false">Septembre!S34</f>
        <v>920</v>
      </c>
      <c r="M33" s="60" t="n">
        <f aca="false">SUM(D33:L33)</f>
        <v>7190</v>
      </c>
    </row>
    <row r="34" customFormat="false" ht="15" hidden="false" customHeight="false" outlineLevel="0" collapsed="false">
      <c r="B34" s="53" t="n">
        <v>27</v>
      </c>
      <c r="C34" s="54" t="s">
        <v>14</v>
      </c>
      <c r="D34" s="56" t="n">
        <f aca="false">Janvier!S15</f>
        <v>0</v>
      </c>
      <c r="E34" s="56" t="n">
        <f aca="false">Février!S15</f>
        <v>0</v>
      </c>
      <c r="F34" s="56" t="n">
        <f aca="false">Mars!S15</f>
        <v>4352</v>
      </c>
      <c r="G34" s="56" t="n">
        <f aca="false">Avril!S15</f>
        <v>4352</v>
      </c>
      <c r="H34" s="56" t="n">
        <f aca="false">Mai!S15</f>
        <v>6270</v>
      </c>
      <c r="I34" s="56" t="n">
        <f aca="false">Juin!S15</f>
        <v>6270</v>
      </c>
      <c r="J34" s="56" t="n">
        <f aca="false">Juillet!S35</f>
        <v>6270</v>
      </c>
      <c r="K34" s="56" t="n">
        <f aca="false">Août!S35</f>
        <v>11928</v>
      </c>
      <c r="L34" s="56" t="n">
        <f aca="false">Septembre!S35</f>
        <v>11928</v>
      </c>
      <c r="M34" s="60" t="n">
        <f aca="false">SUM(D34:L34)</f>
        <v>51370</v>
      </c>
    </row>
    <row r="35" customFormat="false" ht="15" hidden="false" customHeight="false" outlineLevel="0" collapsed="false">
      <c r="B35" s="53"/>
      <c r="C35" s="54" t="s">
        <v>43</v>
      </c>
      <c r="D35" s="57" t="n">
        <v>0</v>
      </c>
      <c r="E35" s="57" t="n">
        <v>0</v>
      </c>
      <c r="F35" s="57" t="n">
        <v>0</v>
      </c>
      <c r="G35" s="57" t="n">
        <v>0</v>
      </c>
      <c r="H35" s="57" t="n">
        <v>0</v>
      </c>
      <c r="I35" s="57" t="n">
        <v>0</v>
      </c>
      <c r="J35" s="56" t="n">
        <f aca="false">Juillet!S36</f>
        <v>8443</v>
      </c>
      <c r="K35" s="56" t="n">
        <f aca="false">Août!S36</f>
        <v>0</v>
      </c>
      <c r="L35" s="56" t="n">
        <f aca="false">Septembre!S36</f>
        <v>0</v>
      </c>
      <c r="M35" s="60" t="n">
        <f aca="false">SUM(D35:L35)</f>
        <v>8443</v>
      </c>
    </row>
    <row r="36" customFormat="false" ht="15" hidden="false" customHeight="false" outlineLevel="0" collapsed="false">
      <c r="B36" s="53" t="n">
        <v>28</v>
      </c>
      <c r="C36" s="54" t="s">
        <v>44</v>
      </c>
      <c r="D36" s="57" t="n">
        <v>0</v>
      </c>
      <c r="E36" s="57" t="n">
        <v>0</v>
      </c>
      <c r="F36" s="57" t="n">
        <v>0</v>
      </c>
      <c r="G36" s="57" t="n">
        <v>0</v>
      </c>
      <c r="H36" s="57" t="n">
        <v>0</v>
      </c>
      <c r="I36" s="57" t="n">
        <v>0</v>
      </c>
      <c r="J36" s="56" t="n">
        <f aca="false">Juillet!S37</f>
        <v>0</v>
      </c>
      <c r="K36" s="56" t="n">
        <f aca="false">Août!S37</f>
        <v>0</v>
      </c>
      <c r="L36" s="56" t="n">
        <f aca="false">Septembre!S37</f>
        <v>2545</v>
      </c>
      <c r="M36" s="60" t="n">
        <f aca="false">SUM(D36:L36)</f>
        <v>2545</v>
      </c>
    </row>
    <row r="37" customFormat="false" ht="15" hidden="false" customHeight="false" outlineLevel="0" collapsed="false">
      <c r="B37" s="53" t="n">
        <v>29</v>
      </c>
      <c r="C37" s="54" t="s">
        <v>45</v>
      </c>
      <c r="D37" s="57" t="n">
        <v>0</v>
      </c>
      <c r="E37" s="57" t="n">
        <v>0</v>
      </c>
      <c r="F37" s="57" t="n">
        <v>0</v>
      </c>
      <c r="G37" s="57" t="n">
        <v>0</v>
      </c>
      <c r="H37" s="57" t="n">
        <v>0</v>
      </c>
      <c r="I37" s="57" t="n">
        <v>0</v>
      </c>
      <c r="J37" s="56" t="n">
        <f aca="false">Juillet!S38</f>
        <v>4352</v>
      </c>
      <c r="K37" s="56" t="n">
        <f aca="false">Août!S38</f>
        <v>11928</v>
      </c>
      <c r="L37" s="56" t="n">
        <f aca="false">Septembre!S38</f>
        <v>11928</v>
      </c>
      <c r="M37" s="60" t="n">
        <f aca="false">SUM(D37:L37)</f>
        <v>28208</v>
      </c>
    </row>
    <row r="38" customFormat="false" ht="15" hidden="false" customHeight="false" outlineLevel="0" collapsed="false">
      <c r="B38" s="53" t="n">
        <v>30</v>
      </c>
      <c r="C38" s="54" t="s">
        <v>11</v>
      </c>
      <c r="D38" s="56" t="n">
        <f aca="false">Janvier!S12</f>
        <v>6270</v>
      </c>
      <c r="E38" s="56" t="n">
        <f aca="false">Février!S12</f>
        <v>11928</v>
      </c>
      <c r="F38" s="56" t="n">
        <f aca="false">Mars!S12</f>
        <v>11928</v>
      </c>
      <c r="G38" s="56" t="n">
        <f aca="false">Avril!S12</f>
        <v>11928</v>
      </c>
      <c r="H38" s="56" t="n">
        <f aca="false">Mai!S12</f>
        <v>11928</v>
      </c>
      <c r="I38" s="56" t="n">
        <f aca="false">Juin!S12</f>
        <v>11928</v>
      </c>
      <c r="J38" s="56" t="n">
        <f aca="false">Juillet!S39</f>
        <v>23133</v>
      </c>
      <c r="K38" s="56" t="n">
        <f aca="false">Août!S39</f>
        <v>23133</v>
      </c>
      <c r="L38" s="56" t="n">
        <f aca="false">Septembre!S39</f>
        <v>23133</v>
      </c>
      <c r="M38" s="60" t="n">
        <f aca="false">SUM(D38:L38)</f>
        <v>135309</v>
      </c>
    </row>
    <row r="39" customFormat="false" ht="15" hidden="false" customHeight="false" outlineLevel="0" collapsed="false">
      <c r="B39" s="53" t="n">
        <v>31</v>
      </c>
      <c r="C39" s="54" t="s">
        <v>46</v>
      </c>
      <c r="D39" s="57" t="n">
        <v>0</v>
      </c>
      <c r="E39" s="57" t="n">
        <v>0</v>
      </c>
      <c r="F39" s="57" t="n">
        <v>0</v>
      </c>
      <c r="G39" s="57" t="n">
        <v>0</v>
      </c>
      <c r="H39" s="57" t="n">
        <v>0</v>
      </c>
      <c r="I39" s="57" t="n">
        <v>0</v>
      </c>
      <c r="J39" s="56" t="n">
        <f aca="false">Juillet!S40</f>
        <v>9777</v>
      </c>
      <c r="K39" s="56" t="n">
        <f aca="false">Août!S40</f>
        <v>9777</v>
      </c>
      <c r="L39" s="56" t="n">
        <f aca="false">Septembre!S40</f>
        <v>9777</v>
      </c>
      <c r="M39" s="60" t="n">
        <f aca="false">SUM(D39:L39)</f>
        <v>29331</v>
      </c>
    </row>
    <row r="40" customFormat="false" ht="15" hidden="false" customHeight="false" outlineLevel="0" collapsed="false">
      <c r="B40" s="53" t="n">
        <v>32</v>
      </c>
      <c r="C40" s="54" t="s">
        <v>47</v>
      </c>
      <c r="D40" s="57" t="n">
        <v>0</v>
      </c>
      <c r="E40" s="57" t="n">
        <v>0</v>
      </c>
      <c r="F40" s="57" t="n">
        <v>0</v>
      </c>
      <c r="G40" s="57" t="n">
        <v>0</v>
      </c>
      <c r="H40" s="57" t="n">
        <v>0</v>
      </c>
      <c r="I40" s="57" t="n">
        <v>0</v>
      </c>
      <c r="J40" s="56" t="n">
        <f aca="false">Juillet!S41</f>
        <v>0</v>
      </c>
      <c r="K40" s="56" t="n">
        <f aca="false">Août!S41</f>
        <v>0</v>
      </c>
      <c r="L40" s="56" t="n">
        <f aca="false">Septembre!S41</f>
        <v>4352</v>
      </c>
      <c r="M40" s="60" t="n">
        <f aca="false">SUM(D40:L40)</f>
        <v>4352</v>
      </c>
    </row>
    <row r="41" customFormat="false" ht="15" hidden="false" customHeight="false" outlineLevel="0" collapsed="false">
      <c r="B41" s="53" t="n">
        <v>33</v>
      </c>
      <c r="C41" s="54" t="s">
        <v>48</v>
      </c>
      <c r="D41" s="57" t="n">
        <v>0</v>
      </c>
      <c r="E41" s="57" t="n">
        <v>0</v>
      </c>
      <c r="F41" s="57" t="n">
        <v>0</v>
      </c>
      <c r="G41" s="57" t="n">
        <v>0</v>
      </c>
      <c r="H41" s="57" t="n">
        <v>0</v>
      </c>
      <c r="I41" s="57" t="n">
        <v>0</v>
      </c>
      <c r="J41" s="56" t="n">
        <f aca="false">Juillet!S42</f>
        <v>9777</v>
      </c>
      <c r="K41" s="56" t="n">
        <f aca="false">Août!S42</f>
        <v>9777</v>
      </c>
      <c r="L41" s="56" t="n">
        <f aca="false">Septembre!S42</f>
        <v>9777</v>
      </c>
      <c r="M41" s="60" t="n">
        <f aca="false">SUM(D41:L41)</f>
        <v>29331</v>
      </c>
    </row>
    <row r="42" customFormat="false" ht="15" hidden="false" customHeight="false" outlineLevel="0" collapsed="false">
      <c r="B42" s="53" t="n">
        <v>34</v>
      </c>
      <c r="C42" s="54" t="s">
        <v>49</v>
      </c>
      <c r="D42" s="57" t="n">
        <v>0</v>
      </c>
      <c r="E42" s="57" t="n">
        <v>0</v>
      </c>
      <c r="F42" s="57" t="n">
        <v>0</v>
      </c>
      <c r="G42" s="57" t="n">
        <v>0</v>
      </c>
      <c r="H42" s="57" t="n">
        <v>0</v>
      </c>
      <c r="I42" s="57" t="n">
        <v>0</v>
      </c>
      <c r="J42" s="56" t="n">
        <f aca="false">Juillet!S43</f>
        <v>0</v>
      </c>
      <c r="K42" s="56" t="n">
        <f aca="false">Août!S43</f>
        <v>8443</v>
      </c>
      <c r="L42" s="56" t="n">
        <f aca="false">Septembre!S43</f>
        <v>14581</v>
      </c>
      <c r="M42" s="60" t="n">
        <f aca="false">SUM(D42:L42)</f>
        <v>23024</v>
      </c>
    </row>
    <row r="43" customFormat="false" ht="15" hidden="false" customHeight="false" outlineLevel="0" collapsed="false">
      <c r="B43" s="53" t="n">
        <v>35</v>
      </c>
      <c r="C43" s="54" t="s">
        <v>50</v>
      </c>
      <c r="D43" s="57" t="n">
        <v>0</v>
      </c>
      <c r="E43" s="57" t="n">
        <v>0</v>
      </c>
      <c r="F43" s="57" t="n">
        <v>0</v>
      </c>
      <c r="G43" s="57" t="n">
        <v>0</v>
      </c>
      <c r="H43" s="57" t="n">
        <v>0</v>
      </c>
      <c r="I43" s="57" t="n">
        <v>0</v>
      </c>
      <c r="J43" s="56" t="n">
        <f aca="false">Juillet!S44</f>
        <v>4352</v>
      </c>
      <c r="K43" s="56" t="n">
        <f aca="false">Août!S44</f>
        <v>4352</v>
      </c>
      <c r="L43" s="56" t="n">
        <f aca="false">Septembre!S44</f>
        <v>4352</v>
      </c>
      <c r="M43" s="60" t="n">
        <f aca="false">SUM(D43:L43)</f>
        <v>13056</v>
      </c>
    </row>
    <row r="44" customFormat="false" ht="15" hidden="false" customHeight="false" outlineLevel="0" collapsed="false">
      <c r="B44" s="53" t="n">
        <v>36</v>
      </c>
      <c r="C44" s="54" t="s">
        <v>51</v>
      </c>
      <c r="D44" s="57" t="n">
        <v>0</v>
      </c>
      <c r="E44" s="57" t="n">
        <v>0</v>
      </c>
      <c r="F44" s="57" t="n">
        <v>0</v>
      </c>
      <c r="G44" s="57" t="n">
        <v>0</v>
      </c>
      <c r="H44" s="57" t="n">
        <v>0</v>
      </c>
      <c r="I44" s="57" t="n">
        <v>0</v>
      </c>
      <c r="J44" s="56" t="n">
        <f aca="false">Juillet!S45</f>
        <v>0</v>
      </c>
      <c r="K44" s="56" t="n">
        <f aca="false">Août!S45</f>
        <v>7108</v>
      </c>
      <c r="L44" s="56" t="n">
        <f aca="false">Septembre!S45</f>
        <v>7108</v>
      </c>
      <c r="M44" s="60" t="n">
        <f aca="false">SUM(D44:L44)</f>
        <v>14216</v>
      </c>
    </row>
    <row r="45" customFormat="false" ht="15" hidden="false" customHeight="false" outlineLevel="0" collapsed="false">
      <c r="B45" s="53" t="n">
        <v>37</v>
      </c>
      <c r="C45" s="54" t="s">
        <v>52</v>
      </c>
      <c r="D45" s="57" t="n">
        <v>0</v>
      </c>
      <c r="E45" s="57" t="n">
        <v>0</v>
      </c>
      <c r="F45" s="57" t="n">
        <v>0</v>
      </c>
      <c r="G45" s="57" t="n">
        <v>0</v>
      </c>
      <c r="H45" s="57" t="n">
        <v>0</v>
      </c>
      <c r="I45" s="57" t="n">
        <v>0</v>
      </c>
      <c r="J45" s="56" t="n">
        <f aca="false">Juillet!S46</f>
        <v>109605</v>
      </c>
      <c r="K45" s="56" t="n">
        <f aca="false">Août!S46</f>
        <v>109605</v>
      </c>
      <c r="L45" s="56" t="n">
        <f aca="false">Septembre!S46</f>
        <v>109605</v>
      </c>
      <c r="M45" s="60" t="n">
        <f aca="false">SUM(D45:L45)</f>
        <v>328815</v>
      </c>
    </row>
    <row r="46" customFormat="false" ht="15" hidden="false" customHeight="false" outlineLevel="0" collapsed="false">
      <c r="B46" s="53" t="n">
        <v>38</v>
      </c>
      <c r="C46" s="54" t="s">
        <v>53</v>
      </c>
      <c r="D46" s="57" t="n">
        <v>0</v>
      </c>
      <c r="E46" s="57" t="n">
        <v>0</v>
      </c>
      <c r="F46" s="57" t="n">
        <v>0</v>
      </c>
      <c r="G46" s="57" t="n">
        <v>0</v>
      </c>
      <c r="H46" s="57" t="n">
        <v>0</v>
      </c>
      <c r="I46" s="57" t="n">
        <v>0</v>
      </c>
      <c r="J46" s="56" t="n">
        <f aca="false">Juillet!S47</f>
        <v>0</v>
      </c>
      <c r="K46" s="56" t="n">
        <f aca="false">Août!S47</f>
        <v>7108</v>
      </c>
      <c r="L46" s="56" t="n">
        <f aca="false">Septembre!S47</f>
        <v>7108</v>
      </c>
      <c r="M46" s="60" t="n">
        <f aca="false">SUM(D46:L46)</f>
        <v>14216</v>
      </c>
    </row>
    <row r="47" customFormat="false" ht="15" hidden="false" customHeight="false" outlineLevel="0" collapsed="false">
      <c r="B47" s="53" t="n">
        <v>39</v>
      </c>
      <c r="C47" s="54" t="s">
        <v>54</v>
      </c>
      <c r="D47" s="57" t="n">
        <v>0</v>
      </c>
      <c r="E47" s="57" t="n">
        <v>0</v>
      </c>
      <c r="F47" s="57" t="n">
        <v>0</v>
      </c>
      <c r="G47" s="57" t="n">
        <v>0</v>
      </c>
      <c r="H47" s="57" t="n">
        <v>0</v>
      </c>
      <c r="I47" s="57" t="n">
        <v>0</v>
      </c>
      <c r="J47" s="56" t="n">
        <f aca="false">Juillet!S48</f>
        <v>920</v>
      </c>
      <c r="K47" s="56" t="n">
        <f aca="false">Août!S48</f>
        <v>7108</v>
      </c>
      <c r="L47" s="56" t="n">
        <f aca="false">Septembre!S48</f>
        <v>7108</v>
      </c>
      <c r="M47" s="60" t="n">
        <f aca="false">SUM(D47:L47)</f>
        <v>15136</v>
      </c>
    </row>
    <row r="48" customFormat="false" ht="15" hidden="false" customHeight="false" outlineLevel="0" collapsed="false">
      <c r="B48" s="53" t="n">
        <v>40</v>
      </c>
      <c r="C48" s="54" t="s">
        <v>55</v>
      </c>
      <c r="D48" s="57" t="n">
        <v>0</v>
      </c>
      <c r="E48" s="57" t="n">
        <v>0</v>
      </c>
      <c r="F48" s="57" t="n">
        <v>0</v>
      </c>
      <c r="G48" s="57" t="n">
        <v>0</v>
      </c>
      <c r="H48" s="57" t="n">
        <v>0</v>
      </c>
      <c r="I48" s="57" t="n">
        <v>0</v>
      </c>
      <c r="J48" s="56" t="n">
        <f aca="false">Juillet!S49</f>
        <v>2545</v>
      </c>
      <c r="K48" s="56" t="n">
        <f aca="false">Août!S49</f>
        <v>2545</v>
      </c>
      <c r="L48" s="56" t="n">
        <f aca="false">Septembre!S49</f>
        <v>2545</v>
      </c>
      <c r="M48" s="60" t="n">
        <f aca="false">SUM(D48:L48)</f>
        <v>7635</v>
      </c>
    </row>
    <row r="49" customFormat="false" ht="15" hidden="false" customHeight="false" outlineLevel="0" collapsed="false">
      <c r="B49" s="53" t="n">
        <v>41</v>
      </c>
      <c r="C49" s="54" t="s">
        <v>56</v>
      </c>
      <c r="D49" s="56" t="n">
        <f aca="false">Janvier!S7</f>
        <v>6270</v>
      </c>
      <c r="E49" s="56" t="n">
        <f aca="false">Février!S7</f>
        <v>11928</v>
      </c>
      <c r="F49" s="56" t="n">
        <f aca="false">Mars!S7</f>
        <v>11928</v>
      </c>
      <c r="G49" s="56" t="n">
        <f aca="false">Avril!S7</f>
        <v>11928</v>
      </c>
      <c r="H49" s="56" t="n">
        <f aca="false">Mai!S7</f>
        <v>11928</v>
      </c>
      <c r="I49" s="56" t="n">
        <f aca="false">Juin!S7</f>
        <v>23133</v>
      </c>
      <c r="J49" s="56" t="n">
        <f aca="false">Juillet!S50</f>
        <v>11928</v>
      </c>
      <c r="K49" s="56" t="n">
        <f aca="false">Août!S50</f>
        <v>11928</v>
      </c>
      <c r="L49" s="56" t="n">
        <f aca="false">Septembre!S50</f>
        <v>11928</v>
      </c>
      <c r="M49" s="60" t="n">
        <f aca="false">SUM(D49:L49)</f>
        <v>112899</v>
      </c>
    </row>
    <row r="50" customFormat="false" ht="15" hidden="false" customHeight="false" outlineLevel="0" collapsed="false">
      <c r="B50" s="53" t="n">
        <v>42</v>
      </c>
      <c r="C50" s="54" t="s">
        <v>57</v>
      </c>
      <c r="D50" s="57" t="n">
        <v>0</v>
      </c>
      <c r="E50" s="57" t="n">
        <v>0</v>
      </c>
      <c r="F50" s="57" t="n">
        <v>0</v>
      </c>
      <c r="G50" s="57" t="n">
        <v>0</v>
      </c>
      <c r="H50" s="57" t="n">
        <v>0</v>
      </c>
      <c r="I50" s="57" t="n">
        <v>0</v>
      </c>
      <c r="J50" s="56" t="n">
        <f aca="false">Juillet!S51</f>
        <v>7108</v>
      </c>
      <c r="K50" s="56" t="n">
        <f aca="false">Août!S51</f>
        <v>7108</v>
      </c>
      <c r="L50" s="56" t="n">
        <f aca="false">Septembre!S51</f>
        <v>7108</v>
      </c>
      <c r="M50" s="60" t="n">
        <f aca="false">SUM(D50:L50)</f>
        <v>21324</v>
      </c>
    </row>
    <row r="51" customFormat="false" ht="15" hidden="false" customHeight="false" outlineLevel="0" collapsed="false">
      <c r="B51" s="53" t="n">
        <v>43</v>
      </c>
      <c r="C51" s="54" t="s">
        <v>58</v>
      </c>
      <c r="D51" s="57" t="n">
        <v>0</v>
      </c>
      <c r="E51" s="57" t="n">
        <v>0</v>
      </c>
      <c r="F51" s="57" t="n">
        <v>0</v>
      </c>
      <c r="G51" s="57" t="n">
        <v>0</v>
      </c>
      <c r="H51" s="57" t="n">
        <v>0</v>
      </c>
      <c r="I51" s="57" t="n">
        <v>0</v>
      </c>
      <c r="J51" s="56" t="n">
        <f aca="false">Juillet!S52</f>
        <v>0</v>
      </c>
      <c r="K51" s="56" t="n">
        <f aca="false">Août!S52</f>
        <v>7108</v>
      </c>
      <c r="L51" s="56" t="n">
        <f aca="false">Septembre!S52</f>
        <v>7108</v>
      </c>
      <c r="M51" s="60" t="n">
        <f aca="false">SUM(D51:L51)</f>
        <v>14216</v>
      </c>
    </row>
    <row r="52" customFormat="false" ht="15" hidden="false" customHeight="false" outlineLevel="0" collapsed="false">
      <c r="B52" s="53" t="n">
        <v>44</v>
      </c>
      <c r="C52" s="54" t="s">
        <v>59</v>
      </c>
      <c r="D52" s="57" t="n">
        <v>0</v>
      </c>
      <c r="E52" s="57" t="n">
        <v>0</v>
      </c>
      <c r="F52" s="57" t="n">
        <v>0</v>
      </c>
      <c r="G52" s="57" t="n">
        <v>0</v>
      </c>
      <c r="H52" s="57" t="n">
        <v>0</v>
      </c>
      <c r="I52" s="57" t="n">
        <v>0</v>
      </c>
      <c r="J52" s="56" t="n">
        <f aca="false">Juillet!S53</f>
        <v>2545</v>
      </c>
      <c r="K52" s="56" t="n">
        <f aca="false">Août!S53</f>
        <v>2545</v>
      </c>
      <c r="L52" s="56" t="n">
        <f aca="false">Septembre!S53</f>
        <v>2545</v>
      </c>
      <c r="M52" s="60" t="n">
        <f aca="false">SUM(D52:L52)</f>
        <v>7635</v>
      </c>
    </row>
    <row r="53" customFormat="false" ht="15" hidden="false" customHeight="false" outlineLevel="0" collapsed="false">
      <c r="B53" s="53" t="n">
        <v>45</v>
      </c>
      <c r="C53" s="54" t="s">
        <v>60</v>
      </c>
      <c r="D53" s="57" t="n">
        <v>0</v>
      </c>
      <c r="E53" s="57" t="n">
        <v>0</v>
      </c>
      <c r="F53" s="57" t="n">
        <v>0</v>
      </c>
      <c r="G53" s="57" t="n">
        <v>0</v>
      </c>
      <c r="H53" s="57" t="n">
        <v>0</v>
      </c>
      <c r="I53" s="57" t="n">
        <v>0</v>
      </c>
      <c r="J53" s="56" t="n">
        <f aca="false">Juillet!S54</f>
        <v>7108</v>
      </c>
      <c r="K53" s="56" t="n">
        <f aca="false">Août!S54</f>
        <v>7108</v>
      </c>
      <c r="L53" s="56" t="n">
        <f aca="false">Septembre!S54</f>
        <v>7108</v>
      </c>
      <c r="M53" s="60" t="n">
        <f aca="false">SUM(D53:L53)</f>
        <v>21324</v>
      </c>
    </row>
    <row r="54" customFormat="false" ht="15" hidden="false" customHeight="false" outlineLevel="0" collapsed="false">
      <c r="B54" s="53" t="n">
        <v>46</v>
      </c>
      <c r="C54" s="54" t="s">
        <v>61</v>
      </c>
      <c r="D54" s="57" t="n">
        <v>0</v>
      </c>
      <c r="E54" s="57" t="n">
        <v>0</v>
      </c>
      <c r="F54" s="57" t="n">
        <v>0</v>
      </c>
      <c r="G54" s="57" t="n">
        <v>0</v>
      </c>
      <c r="H54" s="57" t="n">
        <v>0</v>
      </c>
      <c r="I54" s="57" t="n">
        <v>0</v>
      </c>
      <c r="J54" s="56" t="n">
        <f aca="false">Juillet!S55</f>
        <v>0</v>
      </c>
      <c r="K54" s="56" t="n">
        <f aca="false">Août!S55</f>
        <v>7108</v>
      </c>
      <c r="L54" s="56" t="n">
        <f aca="false">Septembre!S55</f>
        <v>7108</v>
      </c>
      <c r="M54" s="60" t="n">
        <f aca="false">SUM(D54:L54)</f>
        <v>14216</v>
      </c>
    </row>
    <row r="55" customFormat="false" ht="15" hidden="false" customHeight="false" outlineLevel="0" collapsed="false">
      <c r="B55" s="53" t="n">
        <v>47</v>
      </c>
      <c r="C55" s="54" t="s">
        <v>62</v>
      </c>
      <c r="D55" s="57" t="n">
        <v>0</v>
      </c>
      <c r="E55" s="57" t="n">
        <v>0</v>
      </c>
      <c r="F55" s="57" t="n">
        <v>0</v>
      </c>
      <c r="G55" s="57" t="n">
        <v>0</v>
      </c>
      <c r="H55" s="57" t="n">
        <v>0</v>
      </c>
      <c r="I55" s="57" t="n">
        <v>0</v>
      </c>
      <c r="J55" s="56" t="n">
        <f aca="false">Juillet!S56</f>
        <v>4352</v>
      </c>
      <c r="K55" s="56" t="n">
        <f aca="false">Août!S56</f>
        <v>4352</v>
      </c>
      <c r="L55" s="56" t="n">
        <f aca="false">Septembre!S56</f>
        <v>4352</v>
      </c>
      <c r="M55" s="60" t="n">
        <f aca="false">SUM(D55:L55)</f>
        <v>13056</v>
      </c>
    </row>
    <row r="56" customFormat="false" ht="15" hidden="false" customHeight="false" outlineLevel="0" collapsed="false">
      <c r="B56" s="53" t="n">
        <v>48</v>
      </c>
      <c r="C56" s="54" t="s">
        <v>63</v>
      </c>
      <c r="D56" s="57" t="n">
        <v>0</v>
      </c>
      <c r="E56" s="57" t="n">
        <v>0</v>
      </c>
      <c r="F56" s="57" t="n">
        <v>0</v>
      </c>
      <c r="G56" s="57" t="n">
        <v>0</v>
      </c>
      <c r="H56" s="57" t="n">
        <v>0</v>
      </c>
      <c r="I56" s="57" t="n">
        <v>0</v>
      </c>
      <c r="J56" s="56" t="n">
        <f aca="false">Juillet!S57</f>
        <v>40280</v>
      </c>
      <c r="K56" s="56" t="n">
        <f aca="false">Août!S57</f>
        <v>40280</v>
      </c>
      <c r="L56" s="56" t="n">
        <f aca="false">Septembre!S57</f>
        <v>40280</v>
      </c>
      <c r="M56" s="60" t="n">
        <f aca="false">SUM(D56:L56)</f>
        <v>120840</v>
      </c>
    </row>
    <row r="57" customFormat="false" ht="15" hidden="false" customHeight="false" outlineLevel="0" collapsed="false">
      <c r="B57" s="53" t="n">
        <v>49</v>
      </c>
      <c r="C57" s="54" t="s">
        <v>64</v>
      </c>
      <c r="D57" s="57" t="n">
        <v>0</v>
      </c>
      <c r="E57" s="57" t="n">
        <v>0</v>
      </c>
      <c r="F57" s="57" t="n">
        <v>0</v>
      </c>
      <c r="G57" s="57" t="n">
        <v>0</v>
      </c>
      <c r="H57" s="57" t="n">
        <v>0</v>
      </c>
      <c r="I57" s="57" t="n">
        <v>0</v>
      </c>
      <c r="J57" s="56" t="n">
        <f aca="false">Juillet!S58</f>
        <v>9777</v>
      </c>
      <c r="K57" s="56" t="n">
        <f aca="false">Août!S58</f>
        <v>9777</v>
      </c>
      <c r="L57" s="56" t="n">
        <f aca="false">Septembre!S58</f>
        <v>9777</v>
      </c>
      <c r="M57" s="60" t="n">
        <f aca="false">SUM(D57:L57)</f>
        <v>29331</v>
      </c>
    </row>
    <row r="58" customFormat="false" ht="15" hidden="false" customHeight="false" outlineLevel="0" collapsed="false">
      <c r="B58" s="53" t="n">
        <v>50</v>
      </c>
      <c r="C58" s="54" t="s">
        <v>7</v>
      </c>
      <c r="D58" s="56" t="n">
        <f aca="false">Janvier!S8</f>
        <v>0</v>
      </c>
      <c r="E58" s="56" t="n">
        <f aca="false">Février!S8</f>
        <v>0</v>
      </c>
      <c r="F58" s="56" t="n">
        <f aca="false">Mars!S8</f>
        <v>9777</v>
      </c>
      <c r="G58" s="56" t="n">
        <f aca="false">Avril!S8</f>
        <v>9777</v>
      </c>
      <c r="H58" s="56" t="n">
        <f aca="false">Mai!S8</f>
        <v>9777</v>
      </c>
      <c r="I58" s="56" t="n">
        <f aca="false">Juin!S8</f>
        <v>11928</v>
      </c>
      <c r="J58" s="56" t="n">
        <f aca="false">Juillet!S59</f>
        <v>9777</v>
      </c>
      <c r="K58" s="56" t="n">
        <f aca="false">Août!S59</f>
        <v>9777</v>
      </c>
      <c r="L58" s="56" t="n">
        <f aca="false">Septembre!S59</f>
        <v>9777</v>
      </c>
      <c r="M58" s="60" t="n">
        <f aca="false">SUM(D58:L58)</f>
        <v>70590</v>
      </c>
    </row>
    <row r="59" customFormat="false" ht="15" hidden="false" customHeight="false" outlineLevel="0" collapsed="false">
      <c r="B59" s="53"/>
      <c r="C59" s="54" t="s">
        <v>65</v>
      </c>
      <c r="D59" s="57" t="n">
        <v>0</v>
      </c>
      <c r="E59" s="57" t="n">
        <v>0</v>
      </c>
      <c r="F59" s="57" t="n">
        <v>0</v>
      </c>
      <c r="G59" s="57" t="n">
        <v>0</v>
      </c>
      <c r="H59" s="57" t="n">
        <v>0</v>
      </c>
      <c r="I59" s="57" t="n">
        <v>0</v>
      </c>
      <c r="J59" s="56" t="n">
        <f aca="false">Juillet!S60</f>
        <v>0</v>
      </c>
      <c r="K59" s="56" t="n">
        <f aca="false">Août!S60</f>
        <v>0</v>
      </c>
      <c r="L59" s="56" t="n">
        <f aca="false">Septembre!S60</f>
        <v>2545</v>
      </c>
      <c r="M59" s="60" t="n">
        <f aca="false">SUM(D59:L59)</f>
        <v>2545</v>
      </c>
    </row>
    <row r="60" customFormat="false" ht="15" hidden="false" customHeight="false" outlineLevel="0" collapsed="false">
      <c r="B60" s="53" t="n">
        <v>51</v>
      </c>
      <c r="C60" s="54" t="s">
        <v>66</v>
      </c>
      <c r="D60" s="57" t="n">
        <v>0</v>
      </c>
      <c r="E60" s="57" t="n">
        <v>0</v>
      </c>
      <c r="F60" s="57" t="n">
        <v>0</v>
      </c>
      <c r="G60" s="57" t="n">
        <v>0</v>
      </c>
      <c r="H60" s="57" t="n">
        <v>0</v>
      </c>
      <c r="I60" s="57" t="n">
        <v>0</v>
      </c>
      <c r="J60" s="56" t="n">
        <f aca="false">Juillet!S61</f>
        <v>9777</v>
      </c>
      <c r="K60" s="56" t="n">
        <f aca="false">Août!S61</f>
        <v>9777</v>
      </c>
      <c r="L60" s="56" t="n">
        <f aca="false">Septembre!S61</f>
        <v>7108</v>
      </c>
      <c r="M60" s="60" t="n">
        <f aca="false">SUM(D60:L60)</f>
        <v>26662</v>
      </c>
    </row>
    <row r="61" customFormat="false" ht="15" hidden="false" customHeight="false" outlineLevel="0" collapsed="false">
      <c r="B61" s="53" t="n">
        <v>52</v>
      </c>
      <c r="C61" s="54" t="s">
        <v>67</v>
      </c>
      <c r="D61" s="57" t="n">
        <v>0</v>
      </c>
      <c r="E61" s="57" t="n">
        <v>0</v>
      </c>
      <c r="F61" s="57" t="n">
        <v>0</v>
      </c>
      <c r="G61" s="57" t="n">
        <v>0</v>
      </c>
      <c r="H61" s="57" t="n">
        <v>0</v>
      </c>
      <c r="I61" s="57" t="n">
        <v>0</v>
      </c>
      <c r="J61" s="56" t="n">
        <f aca="false">Juillet!S62</f>
        <v>0</v>
      </c>
      <c r="K61" s="56" t="n">
        <f aca="false">Août!S62</f>
        <v>7108</v>
      </c>
      <c r="L61" s="56" t="n">
        <f aca="false">Septembre!S62</f>
        <v>7108</v>
      </c>
      <c r="M61" s="60" t="n">
        <f aca="false">SUM(D61:L61)</f>
        <v>14216</v>
      </c>
    </row>
    <row r="62" customFormat="false" ht="15" hidden="false" customHeight="false" outlineLevel="0" collapsed="false">
      <c r="B62" s="53" t="n">
        <v>53</v>
      </c>
      <c r="C62" s="54" t="s">
        <v>68</v>
      </c>
      <c r="D62" s="57" t="n">
        <v>0</v>
      </c>
      <c r="E62" s="57" t="n">
        <v>0</v>
      </c>
      <c r="F62" s="57" t="n">
        <v>0</v>
      </c>
      <c r="G62" s="57" t="n">
        <v>0</v>
      </c>
      <c r="H62" s="57" t="n">
        <v>0</v>
      </c>
      <c r="I62" s="57" t="n">
        <v>0</v>
      </c>
      <c r="J62" s="56" t="n">
        <f aca="false">Juillet!S63</f>
        <v>7108</v>
      </c>
      <c r="K62" s="56" t="n">
        <f aca="false">Août!S63</f>
        <v>9777</v>
      </c>
      <c r="L62" s="56" t="n">
        <f aca="false">Septembre!S63</f>
        <v>9777</v>
      </c>
      <c r="M62" s="60" t="n">
        <f aca="false">SUM(D62:L62)</f>
        <v>26662</v>
      </c>
    </row>
    <row r="63" customFormat="false" ht="15" hidden="false" customHeight="false" outlineLevel="0" collapsed="false">
      <c r="B63" s="53" t="n">
        <v>54</v>
      </c>
      <c r="C63" s="54" t="s">
        <v>69</v>
      </c>
      <c r="D63" s="57" t="n">
        <v>0</v>
      </c>
      <c r="E63" s="57" t="n">
        <v>0</v>
      </c>
      <c r="F63" s="57" t="n">
        <v>0</v>
      </c>
      <c r="G63" s="57" t="n">
        <v>0</v>
      </c>
      <c r="H63" s="57" t="n">
        <v>0</v>
      </c>
      <c r="I63" s="57" t="n">
        <v>0</v>
      </c>
      <c r="J63" s="56" t="n">
        <f aca="false">Juillet!S64</f>
        <v>9777</v>
      </c>
      <c r="K63" s="56" t="n">
        <f aca="false">Août!S64</f>
        <v>9777</v>
      </c>
      <c r="L63" s="56" t="n">
        <f aca="false">Septembre!S64</f>
        <v>9777</v>
      </c>
      <c r="M63" s="60" t="n">
        <f aca="false">SUM(D63:L63)</f>
        <v>29331</v>
      </c>
    </row>
    <row r="64" customFormat="false" ht="15" hidden="false" customHeight="false" outlineLevel="0" collapsed="false">
      <c r="B64" s="53" t="n">
        <v>56</v>
      </c>
      <c r="C64" s="54" t="s">
        <v>70</v>
      </c>
      <c r="D64" s="57" t="n">
        <v>0</v>
      </c>
      <c r="E64" s="57" t="n">
        <v>0</v>
      </c>
      <c r="F64" s="57" t="n">
        <v>0</v>
      </c>
      <c r="G64" s="57" t="n">
        <v>0</v>
      </c>
      <c r="H64" s="57" t="n">
        <v>0</v>
      </c>
      <c r="I64" s="57" t="n">
        <v>0</v>
      </c>
      <c r="J64" s="56" t="n">
        <f aca="false">Juillet!S65</f>
        <v>7108</v>
      </c>
      <c r="K64" s="56" t="n">
        <f aca="false">Août!S65</f>
        <v>7108</v>
      </c>
      <c r="L64" s="56" t="n">
        <f aca="false">Septembre!S65</f>
        <v>7108</v>
      </c>
      <c r="M64" s="60" t="n">
        <f aca="false">SUM(D64:L64)</f>
        <v>21324</v>
      </c>
    </row>
    <row r="65" customFormat="false" ht="15" hidden="false" customHeight="false" outlineLevel="0" collapsed="false">
      <c r="B65" s="53"/>
      <c r="C65" s="54" t="s">
        <v>70</v>
      </c>
      <c r="D65" s="57" t="n">
        <v>0</v>
      </c>
      <c r="E65" s="57" t="n">
        <v>0</v>
      </c>
      <c r="F65" s="57" t="n">
        <v>0</v>
      </c>
      <c r="G65" s="57" t="n">
        <v>0</v>
      </c>
      <c r="H65" s="57" t="n">
        <v>0</v>
      </c>
      <c r="I65" s="57" t="n">
        <v>0</v>
      </c>
      <c r="J65" s="56" t="n">
        <f aca="false">Juillet!S66</f>
        <v>0</v>
      </c>
      <c r="K65" s="56" t="n">
        <f aca="false">Août!S66</f>
        <v>2545</v>
      </c>
      <c r="L65" s="56" t="n">
        <f aca="false">Septembre!S66</f>
        <v>2545</v>
      </c>
      <c r="M65" s="60" t="n">
        <f aca="false">SUM(D65:L65)</f>
        <v>5090</v>
      </c>
    </row>
    <row r="66" customFormat="false" ht="15" hidden="false" customHeight="false" outlineLevel="0" collapsed="false">
      <c r="B66" s="53"/>
      <c r="C66" s="54" t="s">
        <v>71</v>
      </c>
      <c r="D66" s="57" t="n">
        <v>0</v>
      </c>
      <c r="E66" s="57" t="n">
        <v>0</v>
      </c>
      <c r="F66" s="57" t="n">
        <v>0</v>
      </c>
      <c r="G66" s="57" t="n">
        <v>0</v>
      </c>
      <c r="H66" s="57" t="n">
        <v>0</v>
      </c>
      <c r="I66" s="57" t="n">
        <v>0</v>
      </c>
      <c r="J66" s="56" t="n">
        <f aca="false">Juillet!S67</f>
        <v>0</v>
      </c>
      <c r="K66" s="56" t="n">
        <f aca="false">Août!S67</f>
        <v>0</v>
      </c>
      <c r="L66" s="56" t="n">
        <f aca="false">Septembre!S67</f>
        <v>7108</v>
      </c>
      <c r="M66" s="60" t="n">
        <f aca="false">SUM(D66:L66)</f>
        <v>7108</v>
      </c>
    </row>
    <row r="67" customFormat="false" ht="15" hidden="false" customHeight="false" outlineLevel="0" collapsed="false">
      <c r="B67" s="53" t="n">
        <v>57</v>
      </c>
      <c r="C67" s="54" t="s">
        <v>72</v>
      </c>
      <c r="D67" s="57" t="n">
        <v>0</v>
      </c>
      <c r="E67" s="57" t="n">
        <v>0</v>
      </c>
      <c r="F67" s="57" t="n">
        <v>0</v>
      </c>
      <c r="G67" s="57" t="n">
        <v>0</v>
      </c>
      <c r="H67" s="57" t="n">
        <v>0</v>
      </c>
      <c r="I67" s="57" t="n">
        <v>0</v>
      </c>
      <c r="J67" s="56" t="n">
        <f aca="false">Juillet!S68</f>
        <v>40280</v>
      </c>
      <c r="K67" s="56" t="n">
        <f aca="false">Août!S68</f>
        <v>40280</v>
      </c>
      <c r="L67" s="56" t="n">
        <f aca="false">Septembre!S68</f>
        <v>40280</v>
      </c>
      <c r="M67" s="60" t="n">
        <f aca="false">SUM(D67:L67)</f>
        <v>120840</v>
      </c>
    </row>
    <row r="68" customFormat="false" ht="15" hidden="false" customHeight="false" outlineLevel="0" collapsed="false">
      <c r="B68" s="53" t="n">
        <v>58</v>
      </c>
      <c r="C68" s="54" t="s">
        <v>73</v>
      </c>
      <c r="D68" s="57" t="n">
        <v>0</v>
      </c>
      <c r="E68" s="57" t="n">
        <v>0</v>
      </c>
      <c r="F68" s="57" t="n">
        <v>0</v>
      </c>
      <c r="G68" s="57" t="n">
        <v>0</v>
      </c>
      <c r="H68" s="57" t="n">
        <v>0</v>
      </c>
      <c r="I68" s="57" t="n">
        <v>0</v>
      </c>
      <c r="J68" s="56" t="n">
        <f aca="false">Juillet!S69</f>
        <v>12415</v>
      </c>
      <c r="K68" s="56" t="n">
        <f aca="false">Août!S69</f>
        <v>12415</v>
      </c>
      <c r="L68" s="56" t="n">
        <f aca="false">Septembre!S69</f>
        <v>12415</v>
      </c>
      <c r="M68" s="60" t="n">
        <f aca="false">SUM(D68:L68)</f>
        <v>37245</v>
      </c>
    </row>
    <row r="69" customFormat="false" ht="15" hidden="false" customHeight="false" outlineLevel="0" collapsed="false">
      <c r="B69" s="53" t="n">
        <v>59</v>
      </c>
      <c r="C69" s="54" t="s">
        <v>9</v>
      </c>
      <c r="D69" s="56" t="n">
        <f aca="false">Janvier!S10</f>
        <v>0</v>
      </c>
      <c r="E69" s="56" t="n">
        <f aca="false">Février!S10</f>
        <v>0</v>
      </c>
      <c r="F69" s="56" t="n">
        <f aca="false">Mars!S10</f>
        <v>0</v>
      </c>
      <c r="G69" s="56" t="n">
        <f aca="false">Avril!S10</f>
        <v>9777</v>
      </c>
      <c r="H69" s="56" t="n">
        <f aca="false">Mai!S10</f>
        <v>9777</v>
      </c>
      <c r="I69" s="56" t="n">
        <f aca="false">Juin!S10</f>
        <v>9777</v>
      </c>
      <c r="J69" s="56" t="n">
        <f aca="false">Juillet!S70</f>
        <v>9777</v>
      </c>
      <c r="K69" s="56" t="n">
        <f aca="false">Août!S70</f>
        <v>9777</v>
      </c>
      <c r="L69" s="56" t="n">
        <f aca="false">Septembre!S70</f>
        <v>9777</v>
      </c>
      <c r="M69" s="60" t="n">
        <f aca="false">SUM(D69:L69)</f>
        <v>58662</v>
      </c>
    </row>
    <row r="70" customFormat="false" ht="15" hidden="false" customHeight="false" outlineLevel="0" collapsed="false">
      <c r="B70" s="53" t="n">
        <v>60</v>
      </c>
      <c r="C70" s="54" t="s">
        <v>74</v>
      </c>
      <c r="D70" s="57" t="n">
        <v>0</v>
      </c>
      <c r="E70" s="57" t="n">
        <v>0</v>
      </c>
      <c r="F70" s="57" t="n">
        <v>0</v>
      </c>
      <c r="G70" s="57" t="n">
        <v>0</v>
      </c>
      <c r="H70" s="57" t="n">
        <v>0</v>
      </c>
      <c r="I70" s="57" t="n">
        <v>0</v>
      </c>
      <c r="J70" s="56" t="n">
        <f aca="false">Juillet!S71</f>
        <v>9777</v>
      </c>
      <c r="K70" s="56" t="n">
        <f aca="false">Août!S71</f>
        <v>9777</v>
      </c>
      <c r="L70" s="56" t="n">
        <f aca="false">Septembre!S71</f>
        <v>9777</v>
      </c>
      <c r="M70" s="60" t="n">
        <f aca="false">SUM(D70:L70)</f>
        <v>29331</v>
      </c>
    </row>
    <row r="71" customFormat="false" ht="15" hidden="false" customHeight="false" outlineLevel="0" collapsed="false">
      <c r="B71" s="53" t="n">
        <v>61</v>
      </c>
      <c r="C71" s="54" t="s">
        <v>75</v>
      </c>
      <c r="D71" s="57" t="n">
        <v>0</v>
      </c>
      <c r="E71" s="57" t="n">
        <v>0</v>
      </c>
      <c r="F71" s="57" t="n">
        <v>0</v>
      </c>
      <c r="G71" s="57" t="n">
        <v>0</v>
      </c>
      <c r="H71" s="57" t="n">
        <v>0</v>
      </c>
      <c r="I71" s="57" t="n">
        <v>0</v>
      </c>
      <c r="J71" s="56" t="n">
        <f aca="false">Juillet!S72</f>
        <v>4352</v>
      </c>
      <c r="K71" s="56" t="n">
        <f aca="false">Août!S72</f>
        <v>4352</v>
      </c>
      <c r="L71" s="56" t="n">
        <f aca="false">Septembre!S72</f>
        <v>4352</v>
      </c>
      <c r="M71" s="60" t="n">
        <f aca="false">SUM(D71:L71)</f>
        <v>13056</v>
      </c>
    </row>
    <row r="72" customFormat="false" ht="15" hidden="false" customHeight="false" outlineLevel="0" collapsed="false">
      <c r="B72" s="53" t="n">
        <v>62</v>
      </c>
      <c r="C72" s="54" t="s">
        <v>76</v>
      </c>
      <c r="D72" s="57" t="n">
        <v>0</v>
      </c>
      <c r="E72" s="57" t="n">
        <v>0</v>
      </c>
      <c r="F72" s="57" t="n">
        <v>0</v>
      </c>
      <c r="G72" s="57" t="n">
        <v>0</v>
      </c>
      <c r="H72" s="57" t="n">
        <v>0</v>
      </c>
      <c r="I72" s="57" t="n">
        <v>0</v>
      </c>
      <c r="J72" s="56" t="n">
        <f aca="false">Juillet!S73</f>
        <v>9777</v>
      </c>
      <c r="K72" s="56" t="n">
        <f aca="false">Août!S73</f>
        <v>9777</v>
      </c>
      <c r="L72" s="56" t="n">
        <f aca="false">Septembre!S73</f>
        <v>9777</v>
      </c>
      <c r="M72" s="60" t="n">
        <f aca="false">SUM(D72:L72)</f>
        <v>29331</v>
      </c>
    </row>
    <row r="73" customFormat="false" ht="15" hidden="false" customHeight="false" outlineLevel="0" collapsed="false">
      <c r="B73" s="53" t="n">
        <v>63</v>
      </c>
      <c r="C73" s="54" t="s">
        <v>77</v>
      </c>
      <c r="D73" s="57" t="n">
        <v>0</v>
      </c>
      <c r="E73" s="57" t="n">
        <v>0</v>
      </c>
      <c r="F73" s="57" t="n">
        <v>0</v>
      </c>
      <c r="G73" s="57" t="n">
        <v>0</v>
      </c>
      <c r="H73" s="57" t="n">
        <v>0</v>
      </c>
      <c r="I73" s="57" t="n">
        <v>0</v>
      </c>
      <c r="J73" s="56" t="n">
        <f aca="false">Juillet!S74</f>
        <v>6270</v>
      </c>
      <c r="K73" s="56" t="n">
        <f aca="false">Août!S74</f>
        <v>6270</v>
      </c>
      <c r="L73" s="56" t="n">
        <f aca="false">Septembre!S74</f>
        <v>6270</v>
      </c>
      <c r="M73" s="60" t="n">
        <f aca="false">SUM(D73:L73)</f>
        <v>18810</v>
      </c>
    </row>
    <row r="74" customFormat="false" ht="15" hidden="false" customHeight="false" outlineLevel="0" collapsed="false">
      <c r="B74" s="53" t="n">
        <v>64</v>
      </c>
      <c r="C74" s="54" t="s">
        <v>8</v>
      </c>
      <c r="D74" s="56" t="n">
        <f aca="false">Janvier!S9</f>
        <v>0</v>
      </c>
      <c r="E74" s="56" t="n">
        <f aca="false">Février!S9</f>
        <v>0</v>
      </c>
      <c r="F74" s="56" t="n">
        <f aca="false">Mars!S9</f>
        <v>9777</v>
      </c>
      <c r="G74" s="56" t="n">
        <f aca="false">Avril!S9</f>
        <v>9777</v>
      </c>
      <c r="H74" s="56" t="n">
        <f aca="false">Mai!S9</f>
        <v>9777</v>
      </c>
      <c r="I74" s="56" t="n">
        <f aca="false">Juin!S9</f>
        <v>11928</v>
      </c>
      <c r="J74" s="56" t="n">
        <f aca="false">Juillet!S75</f>
        <v>9777</v>
      </c>
      <c r="K74" s="56" t="n">
        <f aca="false">Août!S75</f>
        <v>9777</v>
      </c>
      <c r="L74" s="56" t="n">
        <f aca="false">Septembre!S75</f>
        <v>9777</v>
      </c>
      <c r="M74" s="60" t="n">
        <f aca="false">SUM(D74:L74)</f>
        <v>70590</v>
      </c>
    </row>
    <row r="75" customFormat="false" ht="15" hidden="false" customHeight="false" outlineLevel="0" collapsed="false">
      <c r="B75" s="53" t="n">
        <v>65</v>
      </c>
      <c r="C75" s="54" t="s">
        <v>78</v>
      </c>
      <c r="D75" s="57" t="n">
        <v>0</v>
      </c>
      <c r="E75" s="57" t="n">
        <v>0</v>
      </c>
      <c r="F75" s="57" t="n">
        <v>0</v>
      </c>
      <c r="G75" s="57" t="n">
        <v>0</v>
      </c>
      <c r="H75" s="57" t="n">
        <v>0</v>
      </c>
      <c r="I75" s="57" t="n">
        <v>0</v>
      </c>
      <c r="J75" s="56" t="n">
        <f aca="false">Juillet!S76</f>
        <v>920</v>
      </c>
      <c r="K75" s="56" t="n">
        <f aca="false">Août!S76</f>
        <v>7108</v>
      </c>
      <c r="L75" s="56" t="n">
        <f aca="false">Septembre!S76</f>
        <v>7108</v>
      </c>
      <c r="M75" s="60" t="n">
        <f aca="false">SUM(D75:L75)</f>
        <v>15136</v>
      </c>
    </row>
    <row r="76" customFormat="false" ht="15" hidden="false" customHeight="false" outlineLevel="0" collapsed="false">
      <c r="B76" s="53" t="n">
        <v>66</v>
      </c>
      <c r="C76" s="54" t="s">
        <v>79</v>
      </c>
      <c r="D76" s="57" t="n">
        <v>0</v>
      </c>
      <c r="E76" s="57" t="n">
        <v>0</v>
      </c>
      <c r="F76" s="57" t="n">
        <v>0</v>
      </c>
      <c r="G76" s="57" t="n">
        <v>0</v>
      </c>
      <c r="H76" s="57" t="n">
        <v>0</v>
      </c>
      <c r="I76" s="57" t="n">
        <v>0</v>
      </c>
      <c r="J76" s="56" t="n">
        <f aca="false">Juillet!S77</f>
        <v>4352</v>
      </c>
      <c r="K76" s="56" t="n">
        <f aca="false">Août!S77</f>
        <v>4352</v>
      </c>
      <c r="L76" s="56" t="n">
        <f aca="false">Septembre!S77</f>
        <v>7108</v>
      </c>
      <c r="M76" s="60" t="n">
        <f aca="false">SUM(D76:L76)</f>
        <v>15812</v>
      </c>
    </row>
    <row r="77" customFormat="false" ht="15" hidden="false" customHeight="false" outlineLevel="0" collapsed="false">
      <c r="B77" s="53" t="n">
        <v>67</v>
      </c>
      <c r="C77" s="54" t="s">
        <v>80</v>
      </c>
      <c r="D77" s="57" t="n">
        <v>0</v>
      </c>
      <c r="E77" s="57" t="n">
        <v>0</v>
      </c>
      <c r="F77" s="57" t="n">
        <v>0</v>
      </c>
      <c r="G77" s="57" t="n">
        <v>0</v>
      </c>
      <c r="H77" s="57" t="n">
        <v>0</v>
      </c>
      <c r="I77" s="57" t="n">
        <v>0</v>
      </c>
      <c r="J77" s="56" t="n">
        <f aca="false">Juillet!S78</f>
        <v>0</v>
      </c>
      <c r="K77" s="56" t="n">
        <f aca="false">Août!S78</f>
        <v>4352</v>
      </c>
      <c r="L77" s="56" t="n">
        <f aca="false">Septembre!S78</f>
        <v>4352</v>
      </c>
      <c r="M77" s="60" t="n">
        <f aca="false">SUM(D77:L77)</f>
        <v>8704</v>
      </c>
    </row>
    <row r="78" customFormat="false" ht="15" hidden="false" customHeight="false" outlineLevel="0" collapsed="false">
      <c r="B78" s="53" t="n">
        <v>68</v>
      </c>
      <c r="C78" s="54" t="s">
        <v>81</v>
      </c>
      <c r="D78" s="57" t="n">
        <v>0</v>
      </c>
      <c r="E78" s="57" t="n">
        <v>0</v>
      </c>
      <c r="F78" s="57" t="n">
        <v>0</v>
      </c>
      <c r="G78" s="57" t="n">
        <v>0</v>
      </c>
      <c r="H78" s="57" t="n">
        <v>0</v>
      </c>
      <c r="I78" s="57" t="n">
        <v>0</v>
      </c>
      <c r="J78" s="56" t="n">
        <f aca="false">Juillet!S79</f>
        <v>40280</v>
      </c>
      <c r="K78" s="56" t="n">
        <f aca="false">Août!S79</f>
        <v>40280</v>
      </c>
      <c r="L78" s="56" t="n">
        <f aca="false">Septembre!S79</f>
        <v>40280</v>
      </c>
      <c r="M78" s="60" t="n">
        <f aca="false">SUM(D78:L78)</f>
        <v>120840</v>
      </c>
    </row>
    <row r="79" customFormat="false" ht="15" hidden="false" customHeight="false" outlineLevel="0" collapsed="false">
      <c r="B79" s="53" t="n">
        <v>69</v>
      </c>
      <c r="C79" s="54" t="s">
        <v>82</v>
      </c>
      <c r="D79" s="57" t="n">
        <v>0</v>
      </c>
      <c r="E79" s="57" t="n">
        <v>0</v>
      </c>
      <c r="F79" s="57" t="n">
        <v>0</v>
      </c>
      <c r="G79" s="57" t="n">
        <v>0</v>
      </c>
      <c r="H79" s="57" t="n">
        <v>0</v>
      </c>
      <c r="I79" s="57" t="n">
        <v>0</v>
      </c>
      <c r="J79" s="56" t="n">
        <f aca="false">Juillet!S80</f>
        <v>0</v>
      </c>
      <c r="K79" s="56" t="n">
        <f aca="false">Août!S80</f>
        <v>0</v>
      </c>
      <c r="L79" s="56" t="n">
        <f aca="false">Septembre!S80</f>
        <v>7108</v>
      </c>
      <c r="M79" s="60" t="n">
        <f aca="false">SUM(D79:L79)</f>
        <v>7108</v>
      </c>
    </row>
    <row r="80" customFormat="false" ht="15" hidden="false" customHeight="false" outlineLevel="0" collapsed="false">
      <c r="B80" s="53" t="n">
        <v>70</v>
      </c>
      <c r="C80" s="54" t="s">
        <v>83</v>
      </c>
      <c r="D80" s="57" t="n">
        <v>0</v>
      </c>
      <c r="E80" s="57" t="n">
        <v>0</v>
      </c>
      <c r="F80" s="57" t="n">
        <v>0</v>
      </c>
      <c r="G80" s="57" t="n">
        <v>0</v>
      </c>
      <c r="H80" s="57" t="n">
        <v>0</v>
      </c>
      <c r="I80" s="57" t="n">
        <v>0</v>
      </c>
      <c r="J80" s="56" t="n">
        <f aca="false">Juillet!S81</f>
        <v>9777</v>
      </c>
      <c r="K80" s="56" t="n">
        <f aca="false">Août!S81</f>
        <v>9777</v>
      </c>
      <c r="L80" s="56" t="n">
        <f aca="false">Septembre!S81</f>
        <v>9777</v>
      </c>
      <c r="M80" s="60" t="n">
        <f aca="false">SUM(D80:L80)</f>
        <v>29331</v>
      </c>
    </row>
    <row r="81" customFormat="false" ht="15" hidden="false" customHeight="false" outlineLevel="0" collapsed="false">
      <c r="B81" s="53" t="n">
        <v>71</v>
      </c>
      <c r="C81" s="54" t="s">
        <v>84</v>
      </c>
      <c r="D81" s="57" t="n">
        <v>0</v>
      </c>
      <c r="E81" s="57" t="n">
        <v>0</v>
      </c>
      <c r="F81" s="57" t="n">
        <v>0</v>
      </c>
      <c r="G81" s="57" t="n">
        <v>0</v>
      </c>
      <c r="H81" s="57" t="n">
        <v>0</v>
      </c>
      <c r="I81" s="57" t="n">
        <v>0</v>
      </c>
      <c r="J81" s="56" t="n">
        <f aca="false">Juillet!S82</f>
        <v>0</v>
      </c>
      <c r="K81" s="56" t="n">
        <f aca="false">Août!S82</f>
        <v>7108</v>
      </c>
      <c r="L81" s="56" t="n">
        <f aca="false">Septembre!S82</f>
        <v>7108</v>
      </c>
      <c r="M81" s="60" t="n">
        <f aca="false">SUM(D81:L81)</f>
        <v>14216</v>
      </c>
    </row>
    <row r="82" customFormat="false" ht="15" hidden="false" customHeight="false" outlineLevel="0" collapsed="false">
      <c r="B82" s="53" t="n">
        <v>72</v>
      </c>
      <c r="C82" s="54" t="s">
        <v>85</v>
      </c>
      <c r="D82" s="57" t="n">
        <v>0</v>
      </c>
      <c r="E82" s="57" t="n">
        <v>0</v>
      </c>
      <c r="F82" s="57" t="n">
        <v>0</v>
      </c>
      <c r="G82" s="57" t="n">
        <v>0</v>
      </c>
      <c r="H82" s="57" t="n">
        <v>0</v>
      </c>
      <c r="I82" s="57" t="n">
        <v>0</v>
      </c>
      <c r="J82" s="56" t="n">
        <f aca="false">Juillet!S83</f>
        <v>920</v>
      </c>
      <c r="K82" s="56" t="n">
        <f aca="false">Août!S83</f>
        <v>7108</v>
      </c>
      <c r="L82" s="56" t="n">
        <f aca="false">Septembre!S83</f>
        <v>7108</v>
      </c>
      <c r="M82" s="60" t="n">
        <f aca="false">SUM(D82:L82)</f>
        <v>15136</v>
      </c>
    </row>
    <row r="83" customFormat="false" ht="15" hidden="false" customHeight="false" outlineLevel="0" collapsed="false">
      <c r="B83" s="53" t="n">
        <v>73</v>
      </c>
      <c r="C83" s="54" t="s">
        <v>86</v>
      </c>
      <c r="D83" s="57" t="n">
        <v>0</v>
      </c>
      <c r="E83" s="57" t="n">
        <v>0</v>
      </c>
      <c r="F83" s="57" t="n">
        <v>0</v>
      </c>
      <c r="G83" s="57" t="n">
        <v>0</v>
      </c>
      <c r="H83" s="57" t="n">
        <v>0</v>
      </c>
      <c r="I83" s="57" t="n">
        <v>0</v>
      </c>
      <c r="J83" s="56" t="n">
        <f aca="false">Juillet!S84</f>
        <v>14011</v>
      </c>
      <c r="K83" s="56" t="n">
        <f aca="false">Août!S84</f>
        <v>14011</v>
      </c>
      <c r="L83" s="56" t="n">
        <f aca="false">Septembre!S84</f>
        <v>14011</v>
      </c>
      <c r="M83" s="60" t="n">
        <f aca="false">SUM(D83:L83)</f>
        <v>42033</v>
      </c>
    </row>
    <row r="84" customFormat="false" ht="15" hidden="false" customHeight="false" outlineLevel="0" collapsed="false">
      <c r="B84" s="53" t="n">
        <v>74</v>
      </c>
      <c r="C84" s="54" t="s">
        <v>87</v>
      </c>
      <c r="D84" s="57" t="n">
        <v>0</v>
      </c>
      <c r="E84" s="57" t="n">
        <v>0</v>
      </c>
      <c r="F84" s="57" t="n">
        <v>0</v>
      </c>
      <c r="G84" s="57" t="n">
        <v>0</v>
      </c>
      <c r="H84" s="57" t="n">
        <v>0</v>
      </c>
      <c r="I84" s="57" t="n">
        <v>0</v>
      </c>
      <c r="J84" s="56" t="n">
        <f aca="false">Juillet!S85</f>
        <v>0</v>
      </c>
      <c r="K84" s="56" t="n">
        <f aca="false">Août!S85</f>
        <v>7108</v>
      </c>
      <c r="L84" s="56" t="n">
        <f aca="false">Septembre!S85</f>
        <v>7108</v>
      </c>
      <c r="M84" s="60" t="n">
        <f aca="false">SUM(D84:L84)</f>
        <v>14216</v>
      </c>
    </row>
    <row r="85" customFormat="false" ht="15" hidden="false" customHeight="false" outlineLevel="0" collapsed="false">
      <c r="B85" s="53" t="n">
        <v>75</v>
      </c>
      <c r="C85" s="54" t="s">
        <v>88</v>
      </c>
      <c r="D85" s="57" t="n">
        <v>0</v>
      </c>
      <c r="E85" s="57" t="n">
        <v>0</v>
      </c>
      <c r="F85" s="57" t="n">
        <v>0</v>
      </c>
      <c r="G85" s="57" t="n">
        <v>0</v>
      </c>
      <c r="H85" s="57" t="n">
        <v>0</v>
      </c>
      <c r="I85" s="57" t="n">
        <v>0</v>
      </c>
      <c r="J85" s="56" t="n">
        <f aca="false">Juillet!S86</f>
        <v>7108</v>
      </c>
      <c r="K85" s="56" t="n">
        <f aca="false">Août!S86</f>
        <v>7108</v>
      </c>
      <c r="L85" s="56" t="n">
        <f aca="false">Septembre!S86</f>
        <v>7108</v>
      </c>
      <c r="M85" s="60" t="n">
        <f aca="false">SUM(D85:L85)</f>
        <v>21324</v>
      </c>
    </row>
    <row r="86" customFormat="false" ht="15" hidden="false" customHeight="false" outlineLevel="0" collapsed="false">
      <c r="B86" s="53" t="n">
        <v>76</v>
      </c>
      <c r="C86" s="54" t="s">
        <v>89</v>
      </c>
      <c r="D86" s="57" t="n">
        <v>0</v>
      </c>
      <c r="E86" s="57" t="n">
        <v>0</v>
      </c>
      <c r="F86" s="57" t="n">
        <v>0</v>
      </c>
      <c r="G86" s="57" t="n">
        <v>0</v>
      </c>
      <c r="H86" s="57" t="n">
        <v>0</v>
      </c>
      <c r="I86" s="57" t="n">
        <v>0</v>
      </c>
      <c r="J86" s="56" t="n">
        <f aca="false">Juillet!S87</f>
        <v>0</v>
      </c>
      <c r="K86" s="56" t="n">
        <f aca="false">Août!S87</f>
        <v>6270</v>
      </c>
      <c r="L86" s="56" t="n">
        <f aca="false">Septembre!S87</f>
        <v>11928</v>
      </c>
      <c r="M86" s="60" t="n">
        <f aca="false">SUM(D86:L86)</f>
        <v>18198</v>
      </c>
    </row>
    <row r="87" customFormat="false" ht="15" hidden="false" customHeight="false" outlineLevel="0" collapsed="false">
      <c r="B87" s="53" t="n">
        <v>77</v>
      </c>
      <c r="C87" s="54" t="s">
        <v>90</v>
      </c>
      <c r="D87" s="57" t="n">
        <v>0</v>
      </c>
      <c r="E87" s="57" t="n">
        <v>0</v>
      </c>
      <c r="F87" s="57" t="n">
        <v>0</v>
      </c>
      <c r="G87" s="57" t="n">
        <v>0</v>
      </c>
      <c r="H87" s="57" t="n">
        <v>0</v>
      </c>
      <c r="I87" s="57" t="n">
        <v>0</v>
      </c>
      <c r="J87" s="56" t="n">
        <f aca="false">Juillet!S88</f>
        <v>0</v>
      </c>
      <c r="K87" s="56" t="n">
        <f aca="false">Août!S88</f>
        <v>0</v>
      </c>
      <c r="L87" s="56" t="n">
        <f aca="false">Septembre!S88</f>
        <v>0</v>
      </c>
      <c r="M87" s="60" t="n">
        <f aca="false">SUM(D87:L87)</f>
        <v>0</v>
      </c>
    </row>
    <row r="88" customFormat="false" ht="15" hidden="false" customHeight="false" outlineLevel="0" collapsed="false">
      <c r="B88" s="53" t="n">
        <v>78</v>
      </c>
      <c r="C88" s="54" t="s">
        <v>91</v>
      </c>
      <c r="D88" s="57" t="n">
        <v>0</v>
      </c>
      <c r="E88" s="57" t="n">
        <v>0</v>
      </c>
      <c r="F88" s="57" t="n">
        <v>0</v>
      </c>
      <c r="G88" s="57" t="n">
        <v>0</v>
      </c>
      <c r="H88" s="57" t="n">
        <v>0</v>
      </c>
      <c r="I88" s="57" t="n">
        <v>0</v>
      </c>
      <c r="J88" s="56" t="n">
        <f aca="false">Juillet!S89</f>
        <v>9777</v>
      </c>
      <c r="K88" s="56" t="n">
        <f aca="false">Août!S89</f>
        <v>9777</v>
      </c>
      <c r="L88" s="56" t="n">
        <f aca="false">Septembre!S89</f>
        <v>9777</v>
      </c>
      <c r="M88" s="60" t="n">
        <f aca="false">SUM(D88:L88)</f>
        <v>29331</v>
      </c>
    </row>
    <row r="89" customFormat="false" ht="15" hidden="false" customHeight="false" outlineLevel="0" collapsed="false">
      <c r="B89" s="53"/>
      <c r="C89" s="54" t="s">
        <v>92</v>
      </c>
      <c r="D89" s="57" t="n">
        <v>0</v>
      </c>
      <c r="E89" s="57" t="n">
        <v>0</v>
      </c>
      <c r="F89" s="57" t="n">
        <v>0</v>
      </c>
      <c r="G89" s="57" t="n">
        <v>0</v>
      </c>
      <c r="H89" s="57" t="n">
        <v>0</v>
      </c>
      <c r="I89" s="57" t="n">
        <v>0</v>
      </c>
      <c r="J89" s="56" t="n">
        <f aca="false">Juillet!S90</f>
        <v>4352</v>
      </c>
      <c r="K89" s="56" t="n">
        <f aca="false">Août!S90</f>
        <v>0</v>
      </c>
      <c r="L89" s="56" t="n">
        <f aca="false">Septembre!S90</f>
        <v>0</v>
      </c>
      <c r="M89" s="60" t="n">
        <f aca="false">SUM(D89:L89)</f>
        <v>4352</v>
      </c>
    </row>
    <row r="90" customFormat="false" ht="15" hidden="false" customHeight="false" outlineLevel="0" collapsed="false">
      <c r="B90" s="53"/>
      <c r="C90" s="54" t="s">
        <v>93</v>
      </c>
      <c r="D90" s="57" t="n">
        <v>0</v>
      </c>
      <c r="E90" s="57" t="n">
        <v>0</v>
      </c>
      <c r="F90" s="57" t="n">
        <v>0</v>
      </c>
      <c r="G90" s="57" t="n">
        <v>0</v>
      </c>
      <c r="H90" s="57" t="n">
        <v>0</v>
      </c>
      <c r="I90" s="57" t="n">
        <v>0</v>
      </c>
      <c r="J90" s="56" t="n">
        <f aca="false">Juillet!S91</f>
        <v>0</v>
      </c>
      <c r="K90" s="56" t="n">
        <f aca="false">Août!S91</f>
        <v>0</v>
      </c>
      <c r="L90" s="56" t="n">
        <f aca="false">Septembre!S91</f>
        <v>0</v>
      </c>
      <c r="M90" s="60" t="n">
        <f aca="false">SUM(D90:L90)</f>
        <v>0</v>
      </c>
    </row>
    <row r="91" customFormat="false" ht="15" hidden="false" customHeight="false" outlineLevel="0" collapsed="false">
      <c r="B91" s="53" t="n">
        <v>79</v>
      </c>
      <c r="C91" s="54" t="s">
        <v>94</v>
      </c>
      <c r="D91" s="57" t="n">
        <v>0</v>
      </c>
      <c r="E91" s="57" t="n">
        <v>0</v>
      </c>
      <c r="F91" s="57" t="n">
        <v>0</v>
      </c>
      <c r="G91" s="57" t="n">
        <v>0</v>
      </c>
      <c r="H91" s="57" t="n">
        <v>0</v>
      </c>
      <c r="I91" s="57" t="n">
        <v>0</v>
      </c>
      <c r="J91" s="56" t="n">
        <f aca="false">Juillet!S92</f>
        <v>12415</v>
      </c>
      <c r="K91" s="56" t="n">
        <f aca="false">Août!S92</f>
        <v>12415</v>
      </c>
      <c r="L91" s="56" t="n">
        <f aca="false">Septembre!S92</f>
        <v>12415</v>
      </c>
      <c r="M91" s="60" t="n">
        <f aca="false">SUM(D91:L91)</f>
        <v>37245</v>
      </c>
    </row>
    <row r="92" customFormat="false" ht="15" hidden="false" customHeight="false" outlineLevel="0" collapsed="false">
      <c r="B92" s="53" t="n">
        <v>80</v>
      </c>
      <c r="C92" s="54" t="s">
        <v>95</v>
      </c>
      <c r="D92" s="57" t="n">
        <v>0</v>
      </c>
      <c r="E92" s="57" t="n">
        <v>0</v>
      </c>
      <c r="F92" s="57" t="n">
        <v>0</v>
      </c>
      <c r="G92" s="57" t="n">
        <v>0</v>
      </c>
      <c r="H92" s="57" t="n">
        <v>0</v>
      </c>
      <c r="I92" s="57" t="n">
        <v>0</v>
      </c>
      <c r="J92" s="56" t="n">
        <f aca="false">Juillet!S93</f>
        <v>7108</v>
      </c>
      <c r="K92" s="56" t="n">
        <f aca="false">Août!S93</f>
        <v>9777</v>
      </c>
      <c r="L92" s="56" t="n">
        <f aca="false">Septembre!S93</f>
        <v>9777</v>
      </c>
      <c r="M92" s="60" t="n">
        <f aca="false">SUM(D92:L92)</f>
        <v>26662</v>
      </c>
    </row>
    <row r="93" customFormat="false" ht="15" hidden="false" customHeight="false" outlineLevel="0" collapsed="false">
      <c r="B93" s="53" t="n">
        <v>81</v>
      </c>
      <c r="C93" s="54" t="s">
        <v>96</v>
      </c>
      <c r="D93" s="57" t="n">
        <v>0</v>
      </c>
      <c r="E93" s="57" t="n">
        <v>0</v>
      </c>
      <c r="F93" s="57" t="n">
        <v>0</v>
      </c>
      <c r="G93" s="57" t="n">
        <v>0</v>
      </c>
      <c r="H93" s="57" t="n">
        <v>0</v>
      </c>
      <c r="I93" s="57" t="n">
        <v>0</v>
      </c>
      <c r="J93" s="56" t="n">
        <f aca="false">Juillet!S94</f>
        <v>8443</v>
      </c>
      <c r="K93" s="56" t="n">
        <f aca="false">Août!S94</f>
        <v>8443</v>
      </c>
      <c r="L93" s="56" t="n">
        <f aca="false">Septembre!S94</f>
        <v>8443</v>
      </c>
      <c r="M93" s="60" t="n">
        <f aca="false">SUM(D93:L93)</f>
        <v>25329</v>
      </c>
    </row>
    <row r="94" customFormat="false" ht="15" hidden="false" customHeight="false" outlineLevel="0" collapsed="false">
      <c r="B94" s="53" t="n">
        <v>82</v>
      </c>
      <c r="C94" s="54" t="s">
        <v>97</v>
      </c>
      <c r="D94" s="57" t="n">
        <v>0</v>
      </c>
      <c r="E94" s="57" t="n">
        <v>0</v>
      </c>
      <c r="F94" s="57" t="n">
        <v>0</v>
      </c>
      <c r="G94" s="57" t="n">
        <v>0</v>
      </c>
      <c r="H94" s="57" t="n">
        <v>0</v>
      </c>
      <c r="I94" s="57" t="n">
        <v>0</v>
      </c>
      <c r="J94" s="56" t="n">
        <f aca="false">Juillet!S95</f>
        <v>0</v>
      </c>
      <c r="K94" s="56" t="n">
        <f aca="false">Août!S95</f>
        <v>7108</v>
      </c>
      <c r="L94" s="56" t="n">
        <f aca="false">Septembre!S95</f>
        <v>7108</v>
      </c>
      <c r="M94" s="60" t="n">
        <f aca="false">SUM(D94:L94)</f>
        <v>14216</v>
      </c>
    </row>
    <row r="95" customFormat="false" ht="15" hidden="false" customHeight="false" outlineLevel="0" collapsed="false">
      <c r="B95" s="53" t="n">
        <v>83</v>
      </c>
      <c r="C95" s="54" t="s">
        <v>98</v>
      </c>
      <c r="D95" s="57" t="n">
        <v>0</v>
      </c>
      <c r="E95" s="57" t="n">
        <v>0</v>
      </c>
      <c r="F95" s="57" t="n">
        <v>0</v>
      </c>
      <c r="G95" s="57" t="n">
        <v>0</v>
      </c>
      <c r="H95" s="57" t="n">
        <v>0</v>
      </c>
      <c r="I95" s="57" t="n">
        <v>0</v>
      </c>
      <c r="J95" s="56" t="n">
        <f aca="false">Juillet!S96</f>
        <v>2545</v>
      </c>
      <c r="K95" s="56" t="n">
        <f aca="false">Août!S96</f>
        <v>2545</v>
      </c>
      <c r="L95" s="56" t="n">
        <f aca="false">Septembre!S96</f>
        <v>2545</v>
      </c>
      <c r="M95" s="60" t="n">
        <f aca="false">SUM(D95:L95)</f>
        <v>7635</v>
      </c>
    </row>
    <row r="96" customFormat="false" ht="15" hidden="false" customHeight="false" outlineLevel="0" collapsed="false">
      <c r="B96" s="53" t="n">
        <v>84</v>
      </c>
      <c r="C96" s="54" t="s">
        <v>99</v>
      </c>
      <c r="D96" s="57" t="n">
        <v>0</v>
      </c>
      <c r="E96" s="57" t="n">
        <v>0</v>
      </c>
      <c r="F96" s="57" t="n">
        <v>0</v>
      </c>
      <c r="G96" s="57" t="n">
        <v>0</v>
      </c>
      <c r="H96" s="57" t="n">
        <v>0</v>
      </c>
      <c r="I96" s="57" t="n">
        <v>0</v>
      </c>
      <c r="J96" s="56" t="n">
        <f aca="false">Juillet!S97</f>
        <v>920</v>
      </c>
      <c r="K96" s="56" t="n">
        <f aca="false">Août!S97</f>
        <v>7108</v>
      </c>
      <c r="L96" s="56" t="n">
        <f aca="false">Septembre!S97</f>
        <v>7108</v>
      </c>
      <c r="M96" s="60" t="n">
        <f aca="false">SUM(D96:L96)</f>
        <v>15136</v>
      </c>
    </row>
    <row r="97" customFormat="false" ht="15" hidden="false" customHeight="false" outlineLevel="0" collapsed="false">
      <c r="B97" s="53"/>
      <c r="C97" s="54" t="s">
        <v>100</v>
      </c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57" t="n">
        <v>0</v>
      </c>
      <c r="J97" s="56" t="n">
        <f aca="false">Juillet!S98</f>
        <v>12415</v>
      </c>
      <c r="K97" s="56" t="n">
        <f aca="false">Août!S98</f>
        <v>12415</v>
      </c>
      <c r="L97" s="56" t="n">
        <f aca="false">Septembre!S98</f>
        <v>12415</v>
      </c>
      <c r="M97" s="60" t="n">
        <f aca="false">SUM(D97:L97)</f>
        <v>37245</v>
      </c>
    </row>
    <row r="98" customFormat="false" ht="15" hidden="false" customHeight="false" outlineLevel="0" collapsed="false">
      <c r="B98" s="53" t="n">
        <v>85</v>
      </c>
      <c r="C98" s="54" t="s">
        <v>101</v>
      </c>
      <c r="D98" s="57" t="n">
        <v>0</v>
      </c>
      <c r="E98" s="57" t="n">
        <v>0</v>
      </c>
      <c r="F98" s="57" t="n">
        <v>0</v>
      </c>
      <c r="G98" s="57" t="n">
        <v>0</v>
      </c>
      <c r="H98" s="57" t="n">
        <v>0</v>
      </c>
      <c r="I98" s="57" t="n">
        <v>0</v>
      </c>
      <c r="J98" s="56" t="n">
        <f aca="false">Juillet!S99</f>
        <v>0</v>
      </c>
      <c r="K98" s="56" t="n">
        <f aca="false">Août!S99</f>
        <v>0</v>
      </c>
      <c r="L98" s="56" t="n">
        <f aca="false">Septembre!S99</f>
        <v>0</v>
      </c>
      <c r="M98" s="60" t="n">
        <f aca="false">SUM(D98:L98)</f>
        <v>0</v>
      </c>
    </row>
    <row r="99" customFormat="false" ht="15" hidden="false" customHeight="true" outlineLevel="0" collapsed="false">
      <c r="B99" s="71" t="s">
        <v>161</v>
      </c>
      <c r="C99" s="71"/>
      <c r="D99" s="72" t="n">
        <f aca="false">SUM(D6:D98)</f>
        <v>47260</v>
      </c>
      <c r="E99" s="72" t="n">
        <f aca="false">SUM(E6:E98)</f>
        <v>58576</v>
      </c>
      <c r="F99" s="72" t="n">
        <f aca="false">SUM(F6:F98)</f>
        <v>82482</v>
      </c>
      <c r="G99" s="72" t="n">
        <f aca="false">SUM(G6:G98)</f>
        <v>99367</v>
      </c>
      <c r="H99" s="72" t="n">
        <f aca="false">SUM(H6:H98)</f>
        <v>112831</v>
      </c>
      <c r="I99" s="72" t="n">
        <f aca="false">SUM(I6:I98)</f>
        <v>128338</v>
      </c>
      <c r="J99" s="72" t="n">
        <f aca="false">SUM(J6:J98)</f>
        <v>688802</v>
      </c>
      <c r="K99" s="72" t="n">
        <f aca="false">SUM(K6:K98)</f>
        <v>865174</v>
      </c>
      <c r="L99" s="72" t="n">
        <f aca="false">SUM(L6:L98)</f>
        <v>905324</v>
      </c>
      <c r="M99" s="72" t="n">
        <f aca="false">SUM(M6:M98)</f>
        <v>2988154</v>
      </c>
    </row>
    <row r="100" customFormat="false" ht="15" hidden="false" customHeight="false" outlineLevel="0" collapsed="false">
      <c r="C100" s="68" t="s">
        <v>162</v>
      </c>
      <c r="D100" s="73" t="n">
        <f aca="false">D99-Janvier!S16</f>
        <v>0</v>
      </c>
      <c r="E100" s="73" t="n">
        <f aca="false">E99-Février!S16</f>
        <v>0</v>
      </c>
      <c r="F100" s="73" t="n">
        <f aca="false">F99-Mars!S16</f>
        <v>0</v>
      </c>
      <c r="G100" s="73" t="n">
        <f aca="false">G99-Avril!S16</f>
        <v>0</v>
      </c>
      <c r="H100" s="73" t="n">
        <f aca="false">H99-Mai!S16</f>
        <v>0</v>
      </c>
      <c r="I100" s="73" t="n">
        <f aca="false">I99-Juin!S16</f>
        <v>0</v>
      </c>
      <c r="J100" s="73" t="n">
        <f aca="false">J99-Juillet!S100</f>
        <v>0</v>
      </c>
      <c r="K100" s="73" t="n">
        <f aca="false">K99-Août!S100</f>
        <v>0</v>
      </c>
      <c r="L100" s="73" t="n">
        <f aca="false">L99-Septembre!S100</f>
        <v>0</v>
      </c>
    </row>
    <row r="101" customFormat="false" ht="15" hidden="false" customHeight="false" outlineLevel="0" collapsed="false">
      <c r="C101" s="68" t="s">
        <v>163</v>
      </c>
    </row>
  </sheetData>
  <mergeCells count="2">
    <mergeCell ref="B2:M2"/>
    <mergeCell ref="B99:C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9" min="3" style="0" width="15"/>
  </cols>
  <sheetData>
    <row r="2" customFormat="false" ht="24" hidden="false" customHeight="true" outlineLevel="0" collapsed="false">
      <c r="B2" s="70" t="s">
        <v>164</v>
      </c>
      <c r="C2" s="70"/>
      <c r="D2" s="70"/>
      <c r="E2" s="70"/>
      <c r="F2" s="70"/>
      <c r="G2" s="70"/>
      <c r="H2" s="70"/>
      <c r="I2" s="70"/>
    </row>
    <row r="4" customFormat="false" ht="27" hidden="false" customHeight="true" outlineLevel="0" collapsed="false">
      <c r="B4" s="52" t="s">
        <v>165</v>
      </c>
      <c r="C4" s="52" t="s">
        <v>166</v>
      </c>
      <c r="D4" s="52" t="s">
        <v>167</v>
      </c>
      <c r="E4" s="52" t="s">
        <v>168</v>
      </c>
      <c r="F4" s="52" t="s">
        <v>169</v>
      </c>
      <c r="G4" s="52" t="s">
        <v>170</v>
      </c>
      <c r="H4" s="52" t="s">
        <v>171</v>
      </c>
      <c r="I4" s="52" t="s">
        <v>172</v>
      </c>
    </row>
    <row r="5" customFormat="false" ht="15" hidden="false" customHeight="false" outlineLevel="0" collapsed="false">
      <c r="B5" s="74" t="s">
        <v>152</v>
      </c>
      <c r="C5" s="75" t="n">
        <f aca="false">COUNTIF(Janvier!E7:E15,"&gt;0")</f>
        <v>4</v>
      </c>
      <c r="D5" s="56" t="n">
        <f aca="false">Janvier!E16</f>
        <v>902790</v>
      </c>
      <c r="E5" s="56" t="n">
        <f aca="false">Janvier!M16</f>
        <v>49653.45</v>
      </c>
      <c r="F5" s="56" t="n">
        <f aca="false">Janvier!S16</f>
        <v>47260</v>
      </c>
      <c r="G5" s="56" t="n">
        <f aca="false">Janvier!U16</f>
        <v>8060</v>
      </c>
      <c r="H5" s="56" t="n">
        <f aca="false">Janvier!V16</f>
        <v>797816</v>
      </c>
      <c r="I5" s="56" t="n">
        <f aca="false">Janvier!T16</f>
        <v>27084</v>
      </c>
    </row>
    <row r="6" customFormat="false" ht="15" hidden="false" customHeight="false" outlineLevel="0" collapsed="false">
      <c r="B6" s="74" t="s">
        <v>153</v>
      </c>
      <c r="C6" s="75" t="n">
        <f aca="false">COUNTIF(Février!E7:E15,"&gt;0")</f>
        <v>4</v>
      </c>
      <c r="D6" s="56" t="n">
        <f aca="false">Février!E16</f>
        <v>1023666</v>
      </c>
      <c r="E6" s="56" t="n">
        <f aca="false">Février!M16</f>
        <v>56301.63</v>
      </c>
      <c r="F6" s="56" t="n">
        <f aca="false">Février!S16</f>
        <v>58576</v>
      </c>
      <c r="G6" s="56" t="n">
        <f aca="false">Février!U16</f>
        <v>9088</v>
      </c>
      <c r="H6" s="56" t="n">
        <f aca="false">Février!V16</f>
        <v>899700</v>
      </c>
      <c r="I6" s="56" t="n">
        <f aca="false">Février!T16</f>
        <v>30710</v>
      </c>
    </row>
    <row r="7" customFormat="false" ht="15" hidden="false" customHeight="false" outlineLevel="0" collapsed="false">
      <c r="B7" s="74" t="s">
        <v>154</v>
      </c>
      <c r="C7" s="75" t="n">
        <f aca="false">COUNTIF(Mars!E7:E15,"&gt;0")</f>
        <v>7</v>
      </c>
      <c r="D7" s="56" t="n">
        <f aca="false">Mars!E16</f>
        <v>1586778</v>
      </c>
      <c r="E7" s="56" t="n">
        <f aca="false">Mars!M16</f>
        <v>87272.79</v>
      </c>
      <c r="F7" s="56" t="n">
        <f aca="false">Mars!S16</f>
        <v>82482</v>
      </c>
      <c r="G7" s="56" t="n">
        <f aca="false">Mars!U16</f>
        <v>14170</v>
      </c>
      <c r="H7" s="56" t="n">
        <f aca="false">Mars!V16</f>
        <v>1402853</v>
      </c>
      <c r="I7" s="56" t="n">
        <f aca="false">Mars!T16</f>
        <v>47603</v>
      </c>
    </row>
    <row r="8" customFormat="false" ht="15" hidden="false" customHeight="false" outlineLevel="0" collapsed="false">
      <c r="B8" s="74" t="s">
        <v>155</v>
      </c>
      <c r="C8" s="75" t="n">
        <f aca="false">COUNTIF(Avril!E7:E15,"&gt;0")</f>
        <v>9</v>
      </c>
      <c r="D8" s="56" t="n">
        <f aca="false">Avril!E16</f>
        <v>1977731</v>
      </c>
      <c r="E8" s="56" t="n">
        <f aca="false">Avril!M16</f>
        <v>108775.205</v>
      </c>
      <c r="F8" s="56" t="n">
        <f aca="false">Avril!S16</f>
        <v>99367</v>
      </c>
      <c r="G8" s="56" t="n">
        <f aca="false">Avril!U16</f>
        <v>17695</v>
      </c>
      <c r="H8" s="56" t="n">
        <f aca="false">Avril!V16</f>
        <v>1751894</v>
      </c>
      <c r="I8" s="56" t="n">
        <f aca="false">Avril!T16</f>
        <v>59332</v>
      </c>
    </row>
    <row r="9" customFormat="false" ht="15" hidden="false" customHeight="false" outlineLevel="0" collapsed="false">
      <c r="B9" s="74" t="s">
        <v>156</v>
      </c>
      <c r="C9" s="75" t="n">
        <f aca="false">COUNTIF(Mai!E7:E15,"&gt;0")</f>
        <v>9</v>
      </c>
      <c r="D9" s="56" t="n">
        <f aca="false">Mai!E16</f>
        <v>2128008</v>
      </c>
      <c r="E9" s="56" t="n">
        <f aca="false">Mai!M16</f>
        <v>117040.44</v>
      </c>
      <c r="F9" s="56" t="n">
        <f aca="false">Mai!S16</f>
        <v>112831</v>
      </c>
      <c r="G9" s="56" t="n">
        <f aca="false">Mai!U16</f>
        <v>18979</v>
      </c>
      <c r="H9" s="56" t="n">
        <f aca="false">Mai!V16</f>
        <v>1879158</v>
      </c>
      <c r="I9" s="56" t="n">
        <f aca="false">Mai!T16</f>
        <v>63839</v>
      </c>
    </row>
    <row r="10" customFormat="false" ht="15" hidden="false" customHeight="false" outlineLevel="0" collapsed="false">
      <c r="B10" s="74" t="s">
        <v>157</v>
      </c>
      <c r="C10" s="75" t="n">
        <f aca="false">COUNTIF(Juin!E7:E15,"&gt;0")</f>
        <v>9</v>
      </c>
      <c r="D10" s="56" t="n">
        <f aca="false">Juin!E16</f>
        <v>2273172</v>
      </c>
      <c r="E10" s="56" t="n">
        <f aca="false">Juin!M16</f>
        <v>125024.46</v>
      </c>
      <c r="F10" s="56" t="n">
        <f aca="false">Juin!S16</f>
        <v>128338</v>
      </c>
      <c r="G10" s="56" t="n">
        <f aca="false">Juin!U16</f>
        <v>20196</v>
      </c>
      <c r="H10" s="56" t="n">
        <f aca="false">Juin!V16</f>
        <v>1999614</v>
      </c>
      <c r="I10" s="56" t="n">
        <f aca="false">Juin!T16</f>
        <v>68193</v>
      </c>
    </row>
    <row r="11" customFormat="false" ht="15" hidden="false" customHeight="false" outlineLevel="0" collapsed="false">
      <c r="B11" s="74" t="s">
        <v>158</v>
      </c>
      <c r="C11" s="75" t="n">
        <f aca="false">COUNTIF(Juillet!E7:E99,"&gt;0")</f>
        <v>62</v>
      </c>
      <c r="D11" s="56" t="n">
        <f aca="false">Juillet!E100</f>
        <v>12800636</v>
      </c>
      <c r="E11" s="56" t="n">
        <f aca="false">Juillet!M100</f>
        <v>700359.33</v>
      </c>
      <c r="F11" s="56" t="n">
        <f aca="false">Juillet!S100</f>
        <v>688802</v>
      </c>
      <c r="G11" s="56" t="n">
        <f aca="false">Juillet!U100</f>
        <v>114112</v>
      </c>
      <c r="H11" s="56" t="n">
        <f aca="false">Juillet!V100</f>
        <v>11297364</v>
      </c>
      <c r="I11" s="56" t="n">
        <f aca="false">Juillet!T100</f>
        <v>384017</v>
      </c>
    </row>
    <row r="12" customFormat="false" ht="15" hidden="false" customHeight="false" outlineLevel="0" collapsed="false">
      <c r="B12" s="74" t="s">
        <v>159</v>
      </c>
      <c r="C12" s="75" t="n">
        <f aca="false">COUNTIF(Août!E7:E99,"&gt;0")</f>
        <v>80</v>
      </c>
      <c r="D12" s="56" t="n">
        <f aca="false">Août!E100</f>
        <v>16646388</v>
      </c>
      <c r="E12" s="56" t="n">
        <f aca="false">Août!M100</f>
        <v>911875.69</v>
      </c>
      <c r="F12" s="56" t="n">
        <f aca="false">Août!S100</f>
        <v>865174</v>
      </c>
      <c r="G12" s="56" t="n">
        <f aca="false">Août!U100</f>
        <v>148684</v>
      </c>
      <c r="H12" s="56" t="n">
        <f aca="false">Août!V100</f>
        <v>14720659</v>
      </c>
      <c r="I12" s="56" t="n">
        <f aca="false">Août!T100</f>
        <v>499395</v>
      </c>
    </row>
    <row r="13" customFormat="false" ht="15" hidden="false" customHeight="false" outlineLevel="0" collapsed="false">
      <c r="B13" s="74" t="s">
        <v>160</v>
      </c>
      <c r="C13" s="75" t="n">
        <f aca="false">COUNTIF(Septembre!E7:E99,"&gt;0")</f>
        <v>87</v>
      </c>
      <c r="D13" s="56" t="n">
        <f aca="false">Septembre!E100</f>
        <v>17696056</v>
      </c>
      <c r="E13" s="56" t="n">
        <f aca="false">Septembre!M100</f>
        <v>969607.43</v>
      </c>
      <c r="F13" s="56" t="n">
        <f aca="false">Septembre!S100</f>
        <v>905324</v>
      </c>
      <c r="G13" s="56" t="n">
        <f aca="false">Septembre!U100</f>
        <v>158200</v>
      </c>
      <c r="H13" s="56" t="n">
        <f aca="false">Septembre!V100</f>
        <v>15662931</v>
      </c>
      <c r="I13" s="56" t="n">
        <f aca="false">Septembre!T100</f>
        <v>530888</v>
      </c>
    </row>
    <row r="14" customFormat="false" ht="15" hidden="false" customHeight="false" outlineLevel="0" collapsed="false">
      <c r="B14" s="76" t="s">
        <v>161</v>
      </c>
      <c r="C14" s="77"/>
      <c r="D14" s="72" t="n">
        <f aca="false">SUM(D5:D13)</f>
        <v>57035225</v>
      </c>
      <c r="E14" s="72" t="n">
        <f aca="false">SUM(E5:E13)</f>
        <v>3125910.425</v>
      </c>
      <c r="F14" s="72" t="n">
        <f aca="false">SUM(F5:F13)</f>
        <v>2988154</v>
      </c>
      <c r="G14" s="72" t="n">
        <f aca="false">SUM(G5:G13)</f>
        <v>509184</v>
      </c>
      <c r="H14" s="72" t="n">
        <f aca="false">SUM(H5:H13)</f>
        <v>50411989</v>
      </c>
      <c r="I14" s="72" t="n">
        <f aca="false">SUM(I5:I13)</f>
        <v>1711061</v>
      </c>
    </row>
    <row r="16" customFormat="false" ht="15" hidden="false" customHeight="false" outlineLevel="0" collapsed="false">
      <c r="B16" s="68" t="s">
        <v>173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5" min="3" style="0" width="16"/>
  </cols>
  <sheetData>
    <row r="2" customFormat="false" ht="16.15" hidden="false" customHeight="false" outlineLevel="0" collapsed="false">
      <c r="B2" s="78" t="s">
        <v>174</v>
      </c>
    </row>
    <row r="3" customFormat="false" ht="15" hidden="false" customHeight="false" outlineLevel="0" collapsed="false">
      <c r="B3" s="68" t="s">
        <v>175</v>
      </c>
    </row>
    <row r="5" customFormat="false" ht="15" hidden="false" customHeight="false" outlineLevel="0" collapsed="false">
      <c r="B5" s="79" t="s">
        <v>176</v>
      </c>
      <c r="C5" s="79" t="s">
        <v>177</v>
      </c>
    </row>
    <row r="6" customFormat="false" ht="15" hidden="false" customHeight="false" outlineLevel="0" collapsed="false">
      <c r="B6" s="80" t="s">
        <v>178</v>
      </c>
      <c r="C6" s="81" t="n">
        <v>0.055</v>
      </c>
      <c r="D6" s="68" t="s">
        <v>179</v>
      </c>
    </row>
    <row r="7" customFormat="false" ht="15" hidden="false" customHeight="false" outlineLevel="0" collapsed="false">
      <c r="B7" s="80" t="s">
        <v>180</v>
      </c>
      <c r="C7" s="82" t="n">
        <v>800000</v>
      </c>
    </row>
    <row r="8" customFormat="false" ht="15" hidden="false" customHeight="false" outlineLevel="0" collapsed="false">
      <c r="B8" s="80" t="s">
        <v>181</v>
      </c>
      <c r="C8" s="81" t="n">
        <v>0.08</v>
      </c>
      <c r="D8" s="68" t="s">
        <v>182</v>
      </c>
    </row>
    <row r="9" customFormat="false" ht="15" hidden="false" customHeight="false" outlineLevel="0" collapsed="false">
      <c r="B9" s="80" t="s">
        <v>183</v>
      </c>
      <c r="C9" s="81" t="n">
        <v>0.25</v>
      </c>
      <c r="D9" s="68" t="s">
        <v>182</v>
      </c>
    </row>
    <row r="10" customFormat="false" ht="15" hidden="false" customHeight="false" outlineLevel="0" collapsed="false">
      <c r="B10" s="80" t="s">
        <v>184</v>
      </c>
      <c r="C10" s="81" t="n">
        <v>0.2</v>
      </c>
      <c r="D10" s="68" t="s">
        <v>182</v>
      </c>
    </row>
    <row r="11" customFormat="false" ht="15" hidden="false" customHeight="false" outlineLevel="0" collapsed="false">
      <c r="B11" s="80" t="s">
        <v>185</v>
      </c>
      <c r="C11" s="82" t="n">
        <v>150000</v>
      </c>
      <c r="D11" s="68" t="s">
        <v>186</v>
      </c>
    </row>
    <row r="12" customFormat="false" ht="15" hidden="false" customHeight="false" outlineLevel="0" collapsed="false">
      <c r="B12" s="80" t="s">
        <v>187</v>
      </c>
      <c r="C12" s="81" t="n">
        <v>0.01</v>
      </c>
      <c r="D12" s="68" t="s">
        <v>188</v>
      </c>
    </row>
    <row r="13" customFormat="false" ht="15" hidden="false" customHeight="false" outlineLevel="0" collapsed="false">
      <c r="B13" s="80" t="s">
        <v>189</v>
      </c>
      <c r="C13" s="81" t="n">
        <v>0.03</v>
      </c>
      <c r="D13" s="68" t="s">
        <v>190</v>
      </c>
    </row>
    <row r="15" customFormat="false" ht="23.85" hidden="false" customHeight="false" outlineLevel="0" collapsed="false">
      <c r="B15" s="79" t="s">
        <v>191</v>
      </c>
      <c r="C15" s="79" t="s">
        <v>192</v>
      </c>
      <c r="D15" s="79" t="s">
        <v>193</v>
      </c>
    </row>
    <row r="16" customFormat="false" ht="15" hidden="false" customHeight="false" outlineLevel="0" collapsed="false">
      <c r="B16" s="80" t="s">
        <v>194</v>
      </c>
      <c r="C16" s="81" t="n">
        <v>0.2</v>
      </c>
      <c r="D16" s="82" t="n">
        <v>75000</v>
      </c>
    </row>
    <row r="17" customFormat="false" ht="15" hidden="false" customHeight="false" outlineLevel="0" collapsed="false">
      <c r="B17" s="80" t="s">
        <v>195</v>
      </c>
      <c r="C17" s="81" t="n">
        <v>0.05</v>
      </c>
      <c r="D17" s="82" t="n">
        <v>30000</v>
      </c>
    </row>
    <row r="18" customFormat="false" ht="15" hidden="false" customHeight="false" outlineLevel="0" collapsed="false">
      <c r="B18" s="80" t="s">
        <v>196</v>
      </c>
      <c r="C18" s="81" t="n">
        <v>0.05</v>
      </c>
      <c r="D18" s="82" t="n">
        <v>50000</v>
      </c>
    </row>
    <row r="20" customFormat="false" ht="23.85" hidden="false" customHeight="false" outlineLevel="0" collapsed="false">
      <c r="B20" s="79" t="s">
        <v>197</v>
      </c>
      <c r="C20" s="79" t="s">
        <v>198</v>
      </c>
      <c r="D20" s="79" t="s">
        <v>199</v>
      </c>
      <c r="E20" s="79" t="s">
        <v>200</v>
      </c>
    </row>
    <row r="21" customFormat="false" ht="15" hidden="false" customHeight="false" outlineLevel="0" collapsed="false">
      <c r="B21" s="82" t="n">
        <v>0</v>
      </c>
      <c r="C21" s="82" t="n">
        <v>30000</v>
      </c>
      <c r="D21" s="81" t="n">
        <v>0</v>
      </c>
      <c r="E21" s="83" t="n">
        <f aca="false">D21</f>
        <v>0</v>
      </c>
    </row>
    <row r="22" customFormat="false" ht="15" hidden="false" customHeight="false" outlineLevel="0" collapsed="false">
      <c r="B22" s="82" t="n">
        <v>30000</v>
      </c>
      <c r="C22" s="82" t="n">
        <v>50000</v>
      </c>
      <c r="D22" s="81" t="n">
        <v>0.121</v>
      </c>
      <c r="E22" s="83" t="n">
        <f aca="false">D22-D21</f>
        <v>0.121</v>
      </c>
    </row>
    <row r="23" customFormat="false" ht="15" hidden="false" customHeight="false" outlineLevel="0" collapsed="false">
      <c r="B23" s="82" t="n">
        <v>50000</v>
      </c>
      <c r="C23" s="82" t="n">
        <v>80000</v>
      </c>
      <c r="D23" s="81" t="n">
        <v>0.139</v>
      </c>
      <c r="E23" s="83" t="n">
        <f aca="false">D23-D22</f>
        <v>0.018</v>
      </c>
    </row>
    <row r="24" customFormat="false" ht="15" hidden="false" customHeight="false" outlineLevel="0" collapsed="false">
      <c r="B24" s="82" t="n">
        <v>80000</v>
      </c>
      <c r="C24" s="82" t="n">
        <v>120000</v>
      </c>
      <c r="D24" s="81" t="n">
        <v>0.157</v>
      </c>
      <c r="E24" s="83" t="n">
        <f aca="false">D24-D23</f>
        <v>0.018</v>
      </c>
    </row>
    <row r="25" customFormat="false" ht="15" hidden="false" customHeight="false" outlineLevel="0" collapsed="false">
      <c r="B25" s="82" t="n">
        <v>120000</v>
      </c>
      <c r="C25" s="82" t="n">
        <v>170000</v>
      </c>
      <c r="D25" s="81" t="n">
        <v>0.184</v>
      </c>
      <c r="E25" s="83" t="n">
        <f aca="false">D25-D24</f>
        <v>0.027</v>
      </c>
    </row>
    <row r="26" customFormat="false" ht="15" hidden="false" customHeight="false" outlineLevel="0" collapsed="false">
      <c r="B26" s="82" t="n">
        <v>170000</v>
      </c>
      <c r="C26" s="82" t="n">
        <v>250000</v>
      </c>
      <c r="D26" s="81" t="n">
        <v>0.217</v>
      </c>
      <c r="E26" s="83" t="n">
        <f aca="false">D26-D25</f>
        <v>0.033</v>
      </c>
    </row>
    <row r="27" customFormat="false" ht="15" hidden="false" customHeight="false" outlineLevel="0" collapsed="false">
      <c r="B27" s="82" t="n">
        <v>250000</v>
      </c>
      <c r="C27" s="82" t="s">
        <v>201</v>
      </c>
      <c r="D27" s="81" t="n">
        <v>0.25</v>
      </c>
      <c r="E27" s="83" t="n">
        <f aca="false">D27-D26</f>
        <v>0.033</v>
      </c>
    </row>
    <row r="28" customFormat="false" ht="15" hidden="false" customHeight="false" outlineLevel="0" collapsed="false">
      <c r="B28" s="68" t="s">
        <v>202</v>
      </c>
    </row>
    <row r="30" customFormat="false" ht="15" hidden="false" customHeight="false" outlineLevel="0" collapsed="false">
      <c r="B30" s="79" t="s">
        <v>203</v>
      </c>
      <c r="C30" s="79" t="s">
        <v>204</v>
      </c>
    </row>
    <row r="31" customFormat="false" ht="15" hidden="false" customHeight="false" outlineLevel="0" collapsed="false">
      <c r="B31" s="84" t="n">
        <v>0</v>
      </c>
      <c r="C31" s="81" t="n">
        <v>0</v>
      </c>
    </row>
    <row r="32" customFormat="false" ht="15" hidden="false" customHeight="false" outlineLevel="0" collapsed="false">
      <c r="B32" s="84" t="n">
        <v>1</v>
      </c>
      <c r="C32" s="81" t="n">
        <v>0.08</v>
      </c>
    </row>
    <row r="33" customFormat="false" ht="15" hidden="false" customHeight="false" outlineLevel="0" collapsed="false">
      <c r="B33" s="84" t="n">
        <v>2</v>
      </c>
      <c r="C33" s="81" t="n">
        <v>0.1</v>
      </c>
    </row>
    <row r="34" customFormat="false" ht="15" hidden="false" customHeight="false" outlineLevel="0" collapsed="false">
      <c r="B34" s="84" t="n">
        <v>3</v>
      </c>
      <c r="C34" s="81" t="n">
        <v>0.12</v>
      </c>
    </row>
    <row r="35" customFormat="false" ht="15" hidden="false" customHeight="false" outlineLevel="0" collapsed="false">
      <c r="B35" s="84" t="n">
        <v>4</v>
      </c>
      <c r="C35" s="81" t="n">
        <v>0.14</v>
      </c>
    </row>
    <row r="36" customFormat="false" ht="15" hidden="false" customHeight="false" outlineLevel="0" collapsed="false">
      <c r="B36" s="84" t="n">
        <v>5</v>
      </c>
      <c r="C36" s="81" t="n">
        <v>0.16</v>
      </c>
    </row>
    <row r="37" customFormat="false" ht="15" hidden="false" customHeight="false" outlineLevel="0" collapsed="false">
      <c r="B37" s="84" t="n">
        <v>6</v>
      </c>
      <c r="C37" s="81" t="n">
        <v>0.18</v>
      </c>
    </row>
    <row r="38" customFormat="false" ht="15" hidden="false" customHeight="false" outlineLevel="0" collapsed="false">
      <c r="B38" s="84" t="n">
        <v>7</v>
      </c>
      <c r="C38" s="81" t="n">
        <v>0.2</v>
      </c>
    </row>
    <row r="39" customFormat="false" ht="15" hidden="false" customHeight="false" outlineLevel="0" collapsed="false">
      <c r="B39" s="68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2026-09-08T08:56:00Z</dcterms:created>
  <dc:creator>COMPTABILITE</dc:creator>
  <dc:description/>
  <dc:language>en-US</dc:language>
  <cp:lastModifiedBy>Anicet KOMPAORE</cp:lastModifiedBy>
  <dcterms:modified xsi:type="dcterms:W3CDTF">2026-10-13T02:44:48Z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